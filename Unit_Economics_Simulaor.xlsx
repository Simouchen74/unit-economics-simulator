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cuments\Simo\LMOFID\"/>
    </mc:Choice>
  </mc:AlternateContent>
  <xr:revisionPtr revIDLastSave="0" documentId="13_ncr:1_{26149179-46F3-43CC-AE7A-2F017C3EE4E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TART HERE" sheetId="1" r:id="rId1"/>
    <sheet name="EXERCISE SOLVED" sheetId="2" r:id="rId2"/>
    <sheet name="SIMULATOR" sheetId="3" r:id="rId3"/>
    <sheet name="FORMULAS &amp; CONCEPTS" sheetId="4" r:id="rId4"/>
    <sheet name="SCENARIO ANALYSIS" sheetId="5" r:id="rId5"/>
    <sheet name="ASSUMPTIONS" sheetId="6" r:id="rId6"/>
    <sheet name="PRACTICE A" sheetId="7" r:id="rId7"/>
    <sheet name="PRACTICE B" sheetId="8" r:id="rId8"/>
    <sheet name="PRACTICE C" sheetId="9" r:id="rId9"/>
    <sheet name="EXERCISE A-B-C" sheetId="10" r:id="rId10"/>
    <sheet name="COMPARE PRODUCT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1" l="1"/>
  <c r="B27" i="11"/>
  <c r="B12" i="11"/>
  <c r="D9" i="11"/>
  <c r="C9" i="11"/>
  <c r="B9" i="11"/>
  <c r="G4" i="11"/>
  <c r="E4" i="11"/>
  <c r="C4" i="11"/>
  <c r="A4" i="11"/>
  <c r="B23" i="10"/>
  <c r="D19" i="10"/>
  <c r="C19" i="10"/>
  <c r="B19" i="10"/>
  <c r="D16" i="10"/>
  <c r="C16" i="10"/>
  <c r="B16" i="10"/>
  <c r="D15" i="10"/>
  <c r="C15" i="10"/>
  <c r="B15" i="10"/>
  <c r="D14" i="10"/>
  <c r="C14" i="10"/>
  <c r="B14" i="10"/>
  <c r="D13" i="10"/>
  <c r="C13" i="10"/>
  <c r="B13" i="10"/>
  <c r="D12" i="10"/>
  <c r="C12" i="10"/>
  <c r="B12" i="10"/>
  <c r="D11" i="10"/>
  <c r="C11" i="10"/>
  <c r="B11" i="10"/>
  <c r="D10" i="10"/>
  <c r="C10" i="10"/>
  <c r="B10" i="10"/>
  <c r="D9" i="10"/>
  <c r="C9" i="10"/>
  <c r="B9" i="10"/>
  <c r="G4" i="10"/>
  <c r="E4" i="10"/>
  <c r="C4" i="10"/>
  <c r="A4" i="10"/>
  <c r="G32" i="9"/>
  <c r="D15" i="11" s="1"/>
  <c r="C32" i="9"/>
  <c r="C27" i="9"/>
  <c r="D13" i="11" s="1"/>
  <c r="G22" i="9"/>
  <c r="C17" i="9"/>
  <c r="G17" i="9" s="1"/>
  <c r="C11" i="9"/>
  <c r="C10" i="9"/>
  <c r="G9" i="9"/>
  <c r="E9" i="9"/>
  <c r="C9" i="9"/>
  <c r="G5" i="9"/>
  <c r="E5" i="9"/>
  <c r="C5" i="9"/>
  <c r="A5" i="9"/>
  <c r="G32" i="8"/>
  <c r="C15" i="11" s="1"/>
  <c r="C32" i="8"/>
  <c r="G22" i="8"/>
  <c r="C27" i="8" s="1"/>
  <c r="G17" i="8"/>
  <c r="C22" i="8" s="1"/>
  <c r="C12" i="11" s="1"/>
  <c r="C17" i="8"/>
  <c r="C10" i="11" s="1"/>
  <c r="C11" i="8"/>
  <c r="C10" i="8"/>
  <c r="G9" i="8"/>
  <c r="E9" i="8"/>
  <c r="C9" i="8"/>
  <c r="G5" i="8"/>
  <c r="E5" i="8"/>
  <c r="C5" i="8"/>
  <c r="A5" i="8"/>
  <c r="G32" i="7"/>
  <c r="B15" i="11" s="1"/>
  <c r="C32" i="7"/>
  <c r="C27" i="7"/>
  <c r="B13" i="11" s="1"/>
  <c r="G22" i="7"/>
  <c r="C22" i="7"/>
  <c r="G17" i="7"/>
  <c r="B11" i="11" s="1"/>
  <c r="C17" i="7"/>
  <c r="B10" i="11" s="1"/>
  <c r="C11" i="7"/>
  <c r="C10" i="7"/>
  <c r="G9" i="7"/>
  <c r="E9" i="7"/>
  <c r="C9" i="7"/>
  <c r="G5" i="7"/>
  <c r="E5" i="7"/>
  <c r="C5" i="7"/>
  <c r="A5" i="7"/>
  <c r="F14" i="5"/>
  <c r="E14" i="5"/>
  <c r="D14" i="5"/>
  <c r="C14" i="5"/>
  <c r="B14" i="5"/>
  <c r="G14" i="5" s="1"/>
  <c r="F13" i="5"/>
  <c r="E13" i="5"/>
  <c r="D13" i="5"/>
  <c r="C13" i="5"/>
  <c r="B13" i="5"/>
  <c r="G13" i="5" s="1"/>
  <c r="F12" i="5"/>
  <c r="E12" i="5"/>
  <c r="D12" i="5"/>
  <c r="C12" i="5"/>
  <c r="B12" i="5"/>
  <c r="G12" i="5" s="1"/>
  <c r="F11" i="5"/>
  <c r="E11" i="5"/>
  <c r="D11" i="5"/>
  <c r="C11" i="5"/>
  <c r="B11" i="5"/>
  <c r="G11" i="5" s="1"/>
  <c r="F10" i="5"/>
  <c r="E10" i="5"/>
  <c r="D10" i="5"/>
  <c r="C10" i="5"/>
  <c r="B10" i="5"/>
  <c r="G10" i="5" s="1"/>
  <c r="F9" i="5"/>
  <c r="E9" i="5"/>
  <c r="D9" i="5"/>
  <c r="C9" i="5"/>
  <c r="B9" i="5"/>
  <c r="G9" i="5" s="1"/>
  <c r="F8" i="5"/>
  <c r="E8" i="5"/>
  <c r="D8" i="5"/>
  <c r="C8" i="5"/>
  <c r="B8" i="5"/>
  <c r="G8" i="5" s="1"/>
  <c r="F7" i="5"/>
  <c r="E7" i="5"/>
  <c r="D7" i="5"/>
  <c r="C7" i="5"/>
  <c r="B7" i="5"/>
  <c r="G7" i="5" s="1"/>
  <c r="F6" i="5"/>
  <c r="E6" i="5"/>
  <c r="D6" i="5"/>
  <c r="C6" i="5"/>
  <c r="B6" i="5"/>
  <c r="G6" i="5" s="1"/>
  <c r="D13" i="4"/>
  <c r="D9" i="4"/>
  <c r="D6" i="4"/>
  <c r="C30" i="3"/>
  <c r="C31" i="3" s="1"/>
  <c r="C29" i="3"/>
  <c r="D28" i="3"/>
  <c r="C28" i="3"/>
  <c r="B28" i="3"/>
  <c r="D14" i="4" s="1"/>
  <c r="D27" i="3"/>
  <c r="C27" i="3"/>
  <c r="B27" i="3"/>
  <c r="C26" i="3"/>
  <c r="D25" i="3"/>
  <c r="D29" i="3" s="1"/>
  <c r="C25" i="3"/>
  <c r="B25" i="3"/>
  <c r="D12" i="4" s="1"/>
  <c r="C24" i="3"/>
  <c r="C33" i="3" s="1"/>
  <c r="D23" i="3"/>
  <c r="D24" i="3" s="1"/>
  <c r="D33" i="3" s="1"/>
  <c r="C23" i="3"/>
  <c r="B23" i="3"/>
  <c r="D10" i="4" s="1"/>
  <c r="D22" i="3"/>
  <c r="D21" i="3"/>
  <c r="B21" i="3"/>
  <c r="B22" i="3" s="1"/>
  <c r="D8" i="4" s="1"/>
  <c r="D20" i="3"/>
  <c r="C20" i="3"/>
  <c r="C21" i="3" s="1"/>
  <c r="C22" i="3" s="1"/>
  <c r="B20" i="3"/>
  <c r="B29" i="2"/>
  <c r="D28" i="2"/>
  <c r="C28" i="2"/>
  <c r="B28" i="2"/>
  <c r="D27" i="2"/>
  <c r="C27" i="2"/>
  <c r="B27" i="2"/>
  <c r="B30" i="2" s="1"/>
  <c r="B31" i="2" s="1"/>
  <c r="C26" i="2"/>
  <c r="D25" i="2"/>
  <c r="D29" i="2" s="1"/>
  <c r="C25" i="2"/>
  <c r="C29" i="2" s="1"/>
  <c r="B25" i="2"/>
  <c r="C24" i="2"/>
  <c r="C33" i="2" s="1"/>
  <c r="D23" i="2"/>
  <c r="D24" i="2" s="1"/>
  <c r="D33" i="2" s="1"/>
  <c r="C23" i="2"/>
  <c r="B23" i="2"/>
  <c r="B26" i="2" s="1"/>
  <c r="D21" i="2"/>
  <c r="D22" i="2" s="1"/>
  <c r="B21" i="2"/>
  <c r="B22" i="2" s="1"/>
  <c r="D20" i="2"/>
  <c r="D30" i="2" s="1"/>
  <c r="D31" i="2" s="1"/>
  <c r="C20" i="2"/>
  <c r="C30" i="2" s="1"/>
  <c r="C31" i="2" s="1"/>
  <c r="B20" i="2"/>
  <c r="E40" i="1"/>
  <c r="D40" i="1"/>
  <c r="C40" i="1"/>
  <c r="B40" i="1"/>
  <c r="A40" i="1"/>
  <c r="I6" i="5" l="1"/>
  <c r="H6" i="5"/>
  <c r="I14" i="5"/>
  <c r="H14" i="5"/>
  <c r="D34" i="2"/>
  <c r="D35" i="2" s="1"/>
  <c r="D36" i="2" s="1"/>
  <c r="D39" i="2"/>
  <c r="I8" i="5"/>
  <c r="H8" i="5"/>
  <c r="C32" i="2"/>
  <c r="C37" i="2"/>
  <c r="C38" i="2" s="1"/>
  <c r="C38" i="3"/>
  <c r="C35" i="3"/>
  <c r="C36" i="3" s="1"/>
  <c r="C40" i="3"/>
  <c r="C32" i="3"/>
  <c r="C37" i="3"/>
  <c r="I10" i="5"/>
  <c r="H10" i="5"/>
  <c r="D11" i="11"/>
  <c r="C22" i="9"/>
  <c r="D12" i="11" s="1"/>
  <c r="D38" i="2"/>
  <c r="D40" i="2"/>
  <c r="D32" i="2"/>
  <c r="D37" i="2"/>
  <c r="I7" i="5"/>
  <c r="H7" i="5"/>
  <c r="I12" i="5"/>
  <c r="H12" i="5"/>
  <c r="B32" i="2"/>
  <c r="B37" i="2"/>
  <c r="H11" i="8"/>
  <c r="C34" i="3"/>
  <c r="C39" i="3"/>
  <c r="C13" i="11"/>
  <c r="G27" i="8"/>
  <c r="C14" i="11" s="1"/>
  <c r="I11" i="5"/>
  <c r="H11" i="5"/>
  <c r="C39" i="2"/>
  <c r="C34" i="2"/>
  <c r="C35" i="2" s="1"/>
  <c r="C36" i="2" s="1"/>
  <c r="I13" i="5"/>
  <c r="H13" i="5"/>
  <c r="H11" i="9"/>
  <c r="D34" i="3"/>
  <c r="D30" i="3"/>
  <c r="D31" i="3" s="1"/>
  <c r="D39" i="3" s="1"/>
  <c r="I9" i="5"/>
  <c r="H9" i="5"/>
  <c r="C11" i="11"/>
  <c r="C21" i="2"/>
  <c r="C22" i="2" s="1"/>
  <c r="B24" i="2"/>
  <c r="B33" i="2" s="1"/>
  <c r="D26" i="2"/>
  <c r="B26" i="3"/>
  <c r="G27" i="7"/>
  <c r="B14" i="11" s="1"/>
  <c r="B29" i="3"/>
  <c r="D15" i="4" s="1"/>
  <c r="G27" i="9"/>
  <c r="D14" i="11" s="1"/>
  <c r="D7" i="4"/>
  <c r="B24" i="3"/>
  <c r="D26" i="3"/>
  <c r="D10" i="11"/>
  <c r="G37" i="9"/>
  <c r="D17" i="11" s="1"/>
  <c r="D11" i="4" l="1"/>
  <c r="B33" i="3"/>
  <c r="C40" i="2"/>
  <c r="C37" i="9"/>
  <c r="G37" i="7"/>
  <c r="B17" i="11" s="1"/>
  <c r="B45" i="2"/>
  <c r="B34" i="2"/>
  <c r="B35" i="2" s="1"/>
  <c r="B39" i="2"/>
  <c r="B44" i="2" s="1"/>
  <c r="B30" i="3"/>
  <c r="B31" i="3" s="1"/>
  <c r="C37" i="8"/>
  <c r="B40" i="2"/>
  <c r="D35" i="3"/>
  <c r="D36" i="3" s="1"/>
  <c r="D32" i="3"/>
  <c r="D37" i="3"/>
  <c r="D38" i="3" s="1"/>
  <c r="C37" i="7"/>
  <c r="G37" i="8"/>
  <c r="C17" i="11" s="1"/>
  <c r="B38" i="2"/>
  <c r="D16" i="11" l="1"/>
  <c r="C42" i="9"/>
  <c r="B36" i="2"/>
  <c r="B43" i="2"/>
  <c r="D40" i="3"/>
  <c r="C16" i="11"/>
  <c r="C42" i="8"/>
  <c r="H11" i="7"/>
  <c r="B34" i="3"/>
  <c r="D17" i="4" s="1"/>
  <c r="B39" i="3"/>
  <c r="B16" i="11"/>
  <c r="C42" i="7"/>
  <c r="B37" i="3"/>
  <c r="B38" i="3" s="1"/>
  <c r="D21" i="4" s="1"/>
  <c r="B35" i="3"/>
  <c r="D16" i="4"/>
  <c r="B32" i="3"/>
  <c r="B36" i="3" l="1"/>
  <c r="D19" i="4" s="1"/>
  <c r="D18" i="4"/>
  <c r="B43" i="3"/>
  <c r="C18" i="11"/>
  <c r="G42" i="8"/>
  <c r="D20" i="4"/>
  <c r="B45" i="3"/>
  <c r="G42" i="7"/>
  <c r="B18" i="11"/>
  <c r="B44" i="3"/>
  <c r="D22" i="4"/>
  <c r="D18" i="11"/>
  <c r="G42" i="9"/>
  <c r="B40" i="3"/>
  <c r="C57" i="8" l="1"/>
  <c r="C21" i="11" s="1"/>
  <c r="G57" i="8"/>
  <c r="C22" i="11" s="1"/>
  <c r="C47" i="8"/>
  <c r="C20" i="11" s="1"/>
  <c r="C19" i="11"/>
  <c r="B19" i="11"/>
  <c r="G57" i="7"/>
  <c r="B22" i="11" s="1"/>
  <c r="C57" i="7"/>
  <c r="B21" i="11" s="1"/>
  <c r="C47" i="7"/>
  <c r="B20" i="11" s="1"/>
  <c r="B26" i="11" s="1"/>
  <c r="C57" i="9"/>
  <c r="D21" i="11" s="1"/>
  <c r="D23" i="11" s="1"/>
  <c r="G57" i="9"/>
  <c r="D22" i="11" s="1"/>
  <c r="C47" i="9"/>
  <c r="D20" i="11" s="1"/>
  <c r="D19" i="11"/>
  <c r="B23" i="11" l="1"/>
  <c r="C23" i="11"/>
</calcChain>
</file>

<file path=xl/sharedStrings.xml><?xml version="1.0" encoding="utf-8"?>
<sst xmlns="http://schemas.openxmlformats.org/spreadsheetml/2006/main" count="458" uniqueCount="265">
  <si>
    <t>UNIT ECONOMICS CALCULATOR</t>
  </si>
  <si>
    <t>LMOFID-inspired | Stage 9 — Student exercise / 3-product profitability</t>
  </si>
  <si>
    <t>01  |  EXERCISE SOLVED</t>
  </si>
  <si>
    <t>Exercise from slides 23–24; all five requested answers calculated.</t>
  </si>
  <si>
    <t>02  |  SIMULATOR</t>
  </si>
  <si>
    <t>Edit the gold-highlighted inputs; outputs update using formulas.</t>
  </si>
  <si>
    <t>03  |  FORMULAS &amp; CONCEPTS</t>
  </si>
  <si>
    <t>COGS, CPL, confirmed/delivered orders, RTO, profit, margin and break-even.</t>
  </si>
  <si>
    <t>04  |  SCENARIO ANALYSIS</t>
  </si>
  <si>
    <t>Compare alternative CPL, confirmation, delivery rate and selling price.</t>
  </si>
  <si>
    <t>05  |  ASSUMPTIONS</t>
  </si>
  <si>
    <t>Explicitly identifies unspecified input data and model conventions.</t>
  </si>
  <si>
    <t>HOW TO USE</t>
  </si>
  <si>
    <t>1. Read EXERCISE SOLVED. 2. Change yellow SIMULATOR cells. 3. Review scenarios.</t>
  </si>
  <si>
    <t>DESIGN</t>
  </si>
  <si>
    <t>Black / gold / ivory palette adapted from original bilingual slide deck.</t>
  </si>
  <si>
    <t>IMPORTANT</t>
  </si>
  <si>
    <t>Slides omit return shipping cost and confirmation cost for the exercise; defaults from earlier slides are used.</t>
  </si>
  <si>
    <t>V3 | 13-STEP PRACTICE LAB</t>
  </si>
  <si>
    <t>STUDENT EXERCISE — RESOLVED</t>
  </si>
  <si>
    <t>Products A · B · C | MAD · yellow cells = editable assumptions</t>
  </si>
  <si>
    <t>INPUTS / ENTRÉES</t>
  </si>
  <si>
    <t>PRODUCT A</t>
  </si>
  <si>
    <t>PRODUCT B</t>
  </si>
  <si>
    <t>PRODUCT C</t>
  </si>
  <si>
    <t>Selling price / Prix de vente</t>
  </si>
  <si>
    <t>Product cost / Coût produit</t>
  </si>
  <si>
    <t>Packaging / Emballage</t>
  </si>
  <si>
    <t>Shipping / Livraison sortante</t>
  </si>
  <si>
    <t>CPL / Cost per lead</t>
  </si>
  <si>
    <t>Confirmation rate / Taux confirmation</t>
  </si>
  <si>
    <t>Delivery rate / Taux livraison</t>
  </si>
  <si>
    <t>Monthly fixed costs / Coûts fixes</t>
  </si>
  <si>
    <t>Confirmation cost / Commande confirmée</t>
  </si>
  <si>
    <t>Return shipping cost / Retour</t>
  </si>
  <si>
    <t>Leads per day / Prospects par jour</t>
  </si>
  <si>
    <t>Days per month / Jours par mois</t>
  </si>
  <si>
    <t>UNIT ECONOMICS / CALCULS</t>
  </si>
  <si>
    <t>COGS per unit</t>
  </si>
  <si>
    <t>Gross profit per unit</t>
  </si>
  <si>
    <t>Gross margin</t>
  </si>
  <si>
    <t>Confirmed leads per day</t>
  </si>
  <si>
    <t>Delivered units per day</t>
  </si>
  <si>
    <t>RTO rate</t>
  </si>
  <si>
    <t>Returned units per day</t>
  </si>
  <si>
    <t>Effective ad cost / delivered unit</t>
  </si>
  <si>
    <t>Confirmation cost / delivered unit</t>
  </si>
  <si>
    <t>Return cost / delivered unit</t>
  </si>
  <si>
    <t>Total variable cost / delivered unit</t>
  </si>
  <si>
    <t>Contribution margin / delivered unit</t>
  </si>
  <si>
    <t>Contribution margin %</t>
  </si>
  <si>
    <t>Monthly delivered units</t>
  </si>
  <si>
    <t>Fixed cost / delivered unit</t>
  </si>
  <si>
    <t>Net profit / delivered unit</t>
  </si>
  <si>
    <t>Net margin %</t>
  </si>
  <si>
    <t>Break-even units / month</t>
  </si>
  <si>
    <t>Break-even monthly revenue</t>
  </si>
  <si>
    <t>Monthly net profit</t>
  </si>
  <si>
    <t>Net profit at break-even volume</t>
  </si>
  <si>
    <t>RANKING / CONCLUSION</t>
  </si>
  <si>
    <t>BEST PRODUCT — MAX. NET PROFIT / UNIT</t>
  </si>
  <si>
    <t>BEST PRODUCT — MONTHLY NET PROFIT</t>
  </si>
  <si>
    <t>Lowest break-even point</t>
  </si>
  <si>
    <t>Method: Effective ad cost = CPL / (confirmation × delivery). Return cost = RTO rate × return shipping / delivery rate.</t>
  </si>
  <si>
    <t>Fixed cost/unit uses assumed daily leads and 30 days. Break-even units use contribution before fixed overhead.</t>
  </si>
  <si>
    <t>UNIT ECONOMICS — LIVE SIMULATOR</t>
  </si>
  <si>
    <t>FORMULAS &amp; CONCEPTS</t>
  </si>
  <si>
    <t>Stage 1–9 | Definitions · Excel logic · bilingual terminology</t>
  </si>
  <si>
    <t>Concept</t>
  </si>
  <si>
    <t>Formula (business)</t>
  </si>
  <si>
    <t>Explanation</t>
  </si>
  <si>
    <t>Example (Product A)</t>
  </si>
  <si>
    <t>Reference</t>
  </si>
  <si>
    <t>COGS</t>
  </si>
  <si>
    <t>Product + packaging + shipping</t>
  </si>
  <si>
    <t>Direct fulfilment cost per sold unit</t>
  </si>
  <si>
    <t>Slide 6</t>
  </si>
  <si>
    <t>Gross Profit</t>
  </si>
  <si>
    <t>Selling price − COGS</t>
  </si>
  <si>
    <t>Gross earnings before advertising, RTO and overhead</t>
  </si>
  <si>
    <t>Slide 7</t>
  </si>
  <si>
    <t>Gross Margin</t>
  </si>
  <si>
    <t>Gross profit ÷ price</t>
  </si>
  <si>
    <t>Gross profitability percentage</t>
  </si>
  <si>
    <t>CPL</t>
  </si>
  <si>
    <t>Ad spend ÷ leads</t>
  </si>
  <si>
    <t>Acquisition cost per unconfirmed lead</t>
  </si>
  <si>
    <t>Slide 8</t>
  </si>
  <si>
    <t>Confirmed Orders</t>
  </si>
  <si>
    <t>Leads × confirmation rate</t>
  </si>
  <si>
    <t>Orders that pass validation</t>
  </si>
  <si>
    <t>Slide 9</t>
  </si>
  <si>
    <t>Delivered Orders</t>
  </si>
  <si>
    <t>Confirmed × delivery rate</t>
  </si>
  <si>
    <t>Actually delivered units generating revenue</t>
  </si>
  <si>
    <t>Slide 11</t>
  </si>
  <si>
    <t>RTO Rate</t>
  </si>
  <si>
    <t>1 − delivery rate</t>
  </si>
  <si>
    <t>Share of confirmed orders that return/fail</t>
  </si>
  <si>
    <t>Slide 12</t>
  </si>
  <si>
    <t>Effective Ad Cost</t>
  </si>
  <si>
    <t>CPL ÷ (confirmation × delivery)</t>
  </si>
  <si>
    <t>True ad spend per delivered unit</t>
  </si>
  <si>
    <t>Slides 10, 21</t>
  </si>
  <si>
    <t>Confirmation cost/unit</t>
  </si>
  <si>
    <t>Cost per confirmed ÷ delivery rate</t>
  </si>
  <si>
    <t>Allocate non-delivered confirmation attempts</t>
  </si>
  <si>
    <t>Slide 15</t>
  </si>
  <si>
    <t>Returns cost/unit</t>
  </si>
  <si>
    <t>RTO × return shipping ÷ delivery rate</t>
  </si>
  <si>
    <t>Spread return losses across deliveries</t>
  </si>
  <si>
    <t>Slides 12,15</t>
  </si>
  <si>
    <t>Contribution</t>
  </si>
  <si>
    <t>Selling price − all variable costs</t>
  </si>
  <si>
    <t>Amount per delivered unit to cover fixed expenses</t>
  </si>
  <si>
    <t>Slide 17</t>
  </si>
  <si>
    <t>Fixed cost/unit</t>
  </si>
  <si>
    <t>Monthly fixed ÷ monthly delivered units</t>
  </si>
  <si>
    <t>Fixed overhead allocation; depends on volume</t>
  </si>
  <si>
    <t>Slide 14</t>
  </si>
  <si>
    <t>Net Profit per unit</t>
  </si>
  <si>
    <t>Contribution − fixed costs / unit</t>
  </si>
  <si>
    <t>Profit after advertising, RTO and allocated fixed</t>
  </si>
  <si>
    <t>Net Margin</t>
  </si>
  <si>
    <t>Net profit per unit ÷ selling price</t>
  </si>
  <si>
    <t>Percent of revenue retained after costs</t>
  </si>
  <si>
    <t>Slide 16</t>
  </si>
  <si>
    <t>Break-even units</t>
  </si>
  <si>
    <t>ROUNDUP(fixed ÷ contribution)</t>
  </si>
  <si>
    <t>Minimum whole delivered units to cover fixed costs</t>
  </si>
  <si>
    <t>Break-even revenue</t>
  </si>
  <si>
    <t>Break-even units × selling price</t>
  </si>
  <si>
    <t>Revenue at the integer break-even volume</t>
  </si>
  <si>
    <t>Monthly net P&amp;L</t>
  </si>
  <si>
    <t>Delivered units × contribution − fixed</t>
  </si>
  <si>
    <t>Forecast monthly total profit based on leads/day</t>
  </si>
  <si>
    <t>Slide 20</t>
  </si>
  <si>
    <t>SCENARIO ANALYSIS</t>
  </si>
  <si>
    <t>Sensitivity | Product A base case and alternative operating assumptions</t>
  </si>
  <si>
    <t>Scenario</t>
  </si>
  <si>
    <t>Price</t>
  </si>
  <si>
    <t>Confirm %</t>
  </si>
  <si>
    <t>Deliver %</t>
  </si>
  <si>
    <t>Variable cost</t>
  </si>
  <si>
    <t>Net/unit</t>
  </si>
  <si>
    <t>Monthly net</t>
  </si>
  <si>
    <t>BASE CASE</t>
  </si>
  <si>
    <t>CPL improves</t>
  </si>
  <si>
    <t>CPL worsens</t>
  </si>
  <si>
    <t>Confirm improves</t>
  </si>
  <si>
    <t>Confirm worsens</t>
  </si>
  <si>
    <t>Delivery improves</t>
  </si>
  <si>
    <t>Delivery worsens</t>
  </si>
  <si>
    <t>Price +50 MAD</t>
  </si>
  <si>
    <t>Price -50 MAD</t>
  </si>
  <si>
    <t>All scenario values are formula-linked to the SIMULATOR Product A input column.</t>
  </si>
  <si>
    <t>Net/unit includes volume-dependent fixed overhead; monthly P&amp;L recalculates expected delivered units.</t>
  </si>
  <si>
    <t>MODEL ASSUMPTIONS</t>
  </si>
  <si>
    <t>Transparency matters: distinguish exercise inputs from reused deck examples</t>
  </si>
  <si>
    <t>Parameter</t>
  </si>
  <si>
    <t>Default</t>
  </si>
  <si>
    <t>Origin</t>
  </si>
  <si>
    <t>Comment</t>
  </si>
  <si>
    <t>Confirmation cost per confirmed order</t>
  </si>
  <si>
    <t>Slide 13</t>
  </si>
  <si>
    <t>Modeled as cost per confirmed order; amortized across delivered orders.</t>
  </si>
  <si>
    <t>Return shipping / RTO cost</t>
  </si>
  <si>
    <t>25 MAD per returned order; not specified in exercise table.</t>
  </si>
  <si>
    <t>Days per month</t>
  </si>
  <si>
    <t>Monthly volume based on 30 days.</t>
  </si>
  <si>
    <t>Lead volume per day</t>
  </si>
  <si>
    <t>Needed only for optional monthly P&amp;L, not unit break-even.</t>
  </si>
  <si>
    <t>Product shipping as COGS</t>
  </si>
  <si>
    <t>Included</t>
  </si>
  <si>
    <t>COGS = product cost + packaging + outbound shipping.</t>
  </si>
  <si>
    <t>Returns</t>
  </si>
  <si>
    <t>Confirmed but not delivered</t>
  </si>
  <si>
    <t>Slides 11–12</t>
  </si>
  <si>
    <t>RTO count = confirmed orders × (1 − delivery rate).</t>
  </si>
  <si>
    <t>Advertising denominator</t>
  </si>
  <si>
    <t>Delivered units</t>
  </si>
  <si>
    <t>Slides 10, 15 and 21</t>
  </si>
  <si>
    <t>Effective advertising cost = CPL ÷ confirmation rate ÷ delivery rate.</t>
  </si>
  <si>
    <t>Before fixed costs</t>
  </si>
  <si>
    <t>Price − variable cost per delivered unit.</t>
  </si>
  <si>
    <t>Profit after fixed per unit</t>
  </si>
  <si>
    <t>Volume-dependent</t>
  </si>
  <si>
    <t>Slides 14–15</t>
  </si>
  <si>
    <t>Net profit per unit includes allocated monthly fixed costs.</t>
  </si>
  <si>
    <t>Rounded up</t>
  </si>
  <si>
    <t>CEILING(monthly fixed costs / contribution margin, 1).</t>
  </si>
  <si>
    <t>Volume requirement</t>
  </si>
  <si>
    <t>Optional</t>
  </si>
  <si>
    <t>Slides 8, 11 and 14</t>
  </si>
  <si>
    <t>Monthly volume = leads/day × confirm rate × deliver rate × days/month.</t>
  </si>
  <si>
    <t>LMOFID ACADEMY  |  PRACTICE PRODUCT A</t>
  </si>
  <si>
    <t>15 STEP CARDS • 13 original V3 steps + Confirmation and Variable Cost</t>
  </si>
  <si>
    <t>PRODUCT DATA • LINKED INPUTS</t>
  </si>
  <si>
    <t>EXERCISE NAVIGATION</t>
  </si>
  <si>
    <t>Selling price</t>
  </si>
  <si>
    <t>Monthly fixed</t>
  </si>
  <si>
    <t>Given units / month</t>
  </si>
  <si>
    <t>Change H11 to test a volume</t>
  </si>
  <si>
    <t>STEP 01  |  COGS</t>
  </si>
  <si>
    <t>STEP 02  |  GROSS PROFIT</t>
  </si>
  <si>
    <t>Product + Packaging + Shipping</t>
  </si>
  <si>
    <t>Selling Price − COGS</t>
  </si>
  <si>
    <t>AUTO FORMULA →</t>
  </si>
  <si>
    <t>STEP 03  |  GROSS MARGIN</t>
  </si>
  <si>
    <t>STEP 04  |  LEADS / DAY</t>
  </si>
  <si>
    <t>Gross Profit ÷ Selling Price</t>
  </si>
  <si>
    <t>Ad Spend ÷ CPL</t>
  </si>
  <si>
    <t>STEP 05  |  CONFIRMED ORDERS</t>
  </si>
  <si>
    <t>STEP 06  |  DELIVERED ORDERS</t>
  </si>
  <si>
    <t>Leads × Confirmation Rate</t>
  </si>
  <si>
    <t>Confirmed × Delivery Rate</t>
  </si>
  <si>
    <t>STEP 07  |  RTO RATE</t>
  </si>
  <si>
    <t>STEP 08  |  EFFECTIVE AD COST / DELIVERED</t>
  </si>
  <si>
    <t>1 − Delivery Rate</t>
  </si>
  <si>
    <t>CPL ÷ Confirmation ÷ Delivery</t>
  </si>
  <si>
    <t>STEP 09  |  CONFIRMATION COST / DELIVERED</t>
  </si>
  <si>
    <t>STEP 10  |  RETURN COST / DELIVERED</t>
  </si>
  <si>
    <t>Confirmed × Confirmation Cost ÷ Delivered</t>
  </si>
  <si>
    <t>Returns × Return Shipping Cost ÷ Delivered</t>
  </si>
  <si>
    <t>STEP 11  |  VARIABLE COST / DELIVERED</t>
  </si>
  <si>
    <t>STEP 12  |  CONTRIBUTION / DELIVERED</t>
  </si>
  <si>
    <t>COGS + Ad + Confirmation + Returns</t>
  </si>
  <si>
    <t>Selling Price − Variable Cost</t>
  </si>
  <si>
    <t>STEP 13  |  NET PROFIT / DELIVERED</t>
  </si>
  <si>
    <t>Contribution − Fixed Cost / Delivered</t>
  </si>
  <si>
    <t>MODEL: 15 linked calculations • V3 card design • no dual-result columns</t>
  </si>
  <si>
    <t>STEP 14  |  BREAK-EVEN UNITS</t>
  </si>
  <si>
    <t>STEP 15  |  VALUE GIVEN UNITS</t>
  </si>
  <si>
    <t>ROUNDUP(Fixed Costs ÷ Contribution, 0)</t>
  </si>
  <si>
    <t>Contribution × given units − Monthly fixed</t>
  </si>
  <si>
    <t>LMOFID ACADEMY  |  PRACTICE PRODUCT B</t>
  </si>
  <si>
    <t>LMOFID ACADEMY  |  PRACTICE PRODUCT C</t>
  </si>
  <si>
    <t>EXERCISE A / B / C</t>
  </si>
  <si>
    <t>SOURCE INPUT</t>
  </si>
  <si>
    <t>Selling Price</t>
  </si>
  <si>
    <t>Product Cost</t>
  </si>
  <si>
    <t>Packaging</t>
  </si>
  <si>
    <t>Shipping</t>
  </si>
  <si>
    <t>Confirmation rate</t>
  </si>
  <si>
    <t>Delivery rate</t>
  </si>
  <si>
    <t>Fixed costs</t>
  </si>
  <si>
    <t>All product data are linked from the original SIMULATOR sheet — no check answers.</t>
  </si>
  <si>
    <t>4. COMPARE PRODUCTS</t>
  </si>
  <si>
    <t>INDICATOR</t>
  </si>
  <si>
    <t>Confirmed Orders/day</t>
  </si>
  <si>
    <t>Delivered Orders/day</t>
  </si>
  <si>
    <t>Effective Ad Cost / Delivered</t>
  </si>
  <si>
    <t>Confirmation Cost / Delivered</t>
  </si>
  <si>
    <t>Return Cost / Delivered</t>
  </si>
  <si>
    <t>Variable Cost / Delivered</t>
  </si>
  <si>
    <t>Contribution / Delivered</t>
  </si>
  <si>
    <t>Net Profit / Delivered</t>
  </si>
  <si>
    <t>Break-Even Units</t>
  </si>
  <si>
    <t>Value Given Units</t>
  </si>
  <si>
    <t>Net Profit at Break-Even Volume</t>
  </si>
  <si>
    <t>WINNER BY CRITERION</t>
  </si>
  <si>
    <t>PRODUCT</t>
  </si>
  <si>
    <t>Best Net Profit / Delivered</t>
  </si>
  <si>
    <t>Lowest Break-Even Units</t>
  </si>
  <si>
    <t>Highest Value Given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</si>
</sst>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#,##0.00\ &quot;MAD&quot;"/>
  </numFmts>
  <fonts count="9">
    <font>
      <sz val="11"/>
      <name val="Carlito"/>
    </font>
    <font>
      <b/>
      <sz val="18"/>
      <color rgb="FFD79A19"/>
      <name val="Carlito"/>
    </font>
    <font>
      <b/>
      <sz val="11"/>
      <color rgb="FF101113"/>
      <name val="Carlito"/>
    </font>
    <font>
      <b/>
      <sz val="11"/>
      <color rgb="FFD79A19"/>
      <name val="Carlito"/>
    </font>
    <font>
      <b/>
      <sz val="11"/>
      <color rgb="FFFFFFFF"/>
      <name val="Carlito"/>
    </font>
    <font>
      <b/>
      <sz val="11"/>
      <color rgb="FFD69A1C"/>
      <name val="Carlito"/>
    </font>
    <font>
      <sz val="11"/>
      <color rgb="FF101113"/>
      <name val="Carlito"/>
    </font>
    <font>
      <sz val="11"/>
      <color rgb="FFD69A1C"/>
      <name val="Carlito"/>
    </font>
    <font>
      <b/>
      <sz val="11"/>
      <color rgb="FF111315"/>
      <name val="Carlito"/>
    </font>
  </fonts>
  <fills count="18">
    <fill>
      <patternFill patternType="none"/>
    </fill>
    <fill>
      <patternFill patternType="gray125"/>
    </fill>
    <fill>
      <patternFill patternType="solid">
        <fgColor rgb="FF101113"/>
      </patternFill>
    </fill>
    <fill>
      <patternFill patternType="solid">
        <fgColor rgb="FFD79A19"/>
      </patternFill>
    </fill>
    <fill>
      <patternFill patternType="solid">
        <fgColor rgb="FFFFF0C5"/>
      </patternFill>
    </fill>
    <fill>
      <patternFill patternType="solid">
        <fgColor rgb="FFF5F2EB"/>
      </patternFill>
    </fill>
    <fill>
      <patternFill patternType="solid">
        <fgColor rgb="FFF4DC99"/>
      </patternFill>
    </fill>
    <fill>
      <patternFill patternType="solid">
        <fgColor rgb="FFF8EAC1"/>
      </patternFill>
    </fill>
    <fill>
      <patternFill patternType="solid">
        <fgColor rgb="FF101113"/>
      </patternFill>
    </fill>
    <fill>
      <patternFill patternType="solid">
        <fgColor rgb="FFD69A1C"/>
      </patternFill>
    </fill>
    <fill>
      <patternFill patternType="solid">
        <fgColor rgb="FFFFF4DA"/>
      </patternFill>
    </fill>
    <fill>
      <patternFill patternType="solid">
        <fgColor rgb="FF101113"/>
      </patternFill>
    </fill>
    <fill>
      <patternFill patternType="solid">
        <fgColor rgb="FFF8F6F0"/>
      </patternFill>
    </fill>
    <fill>
      <patternFill patternType="solid">
        <fgColor rgb="FFFFF4DA"/>
      </patternFill>
    </fill>
    <fill>
      <patternFill patternType="solid">
        <fgColor rgb="FFD69A1C"/>
      </patternFill>
    </fill>
    <fill>
      <patternFill patternType="solid">
        <fgColor rgb="FFFFF0D4"/>
      </patternFill>
    </fill>
    <fill>
      <patternFill patternType="solid">
        <fgColor rgb="FF111315"/>
      </patternFill>
    </fill>
    <fill>
      <patternFill patternType="solid">
        <fgColor rgb="FFD69A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0" xfId="0" applyFont="1" applyFill="1"/>
    <xf numFmtId="0" fontId="0" fillId="0" borderId="0" xfId="0" applyAlignment="1">
      <alignment wrapText="1"/>
    </xf>
    <xf numFmtId="0" fontId="3" fillId="2" borderId="0" xfId="0" applyFont="1" applyFill="1" applyAlignment="1">
      <alignment wrapText="1"/>
    </xf>
    <xf numFmtId="0" fontId="3" fillId="2" borderId="0" xfId="0" applyFont="1" applyFill="1" applyAlignment="1">
      <alignment horizontal="center" vertical="center"/>
    </xf>
    <xf numFmtId="0" fontId="0" fillId="4" borderId="0" xfId="0" applyFill="1" applyAlignment="1">
      <alignment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9" fontId="0" fillId="4" borderId="0" xfId="0" applyNumberFormat="1" applyFill="1"/>
    <xf numFmtId="164" fontId="0" fillId="5" borderId="0" xfId="0" applyNumberFormat="1" applyFill="1"/>
    <xf numFmtId="164" fontId="0" fillId="6" borderId="0" xfId="0" applyNumberFormat="1" applyFill="1"/>
    <xf numFmtId="165" fontId="0" fillId="4" borderId="0" xfId="0" applyNumberFormat="1" applyFill="1"/>
    <xf numFmtId="165" fontId="0" fillId="5" borderId="0" xfId="0" applyNumberFormat="1" applyFill="1"/>
    <xf numFmtId="165" fontId="0" fillId="6" borderId="0" xfId="0" applyNumberFormat="1" applyFill="1"/>
    <xf numFmtId="165" fontId="0" fillId="7" borderId="0" xfId="0" applyNumberFormat="1" applyFill="1"/>
    <xf numFmtId="0" fontId="4" fillId="2" borderId="0" xfId="0" applyFont="1" applyFill="1"/>
    <xf numFmtId="164" fontId="0" fillId="4" borderId="0" xfId="0" applyNumberFormat="1" applyFill="1" applyAlignment="1">
      <alignment wrapText="1"/>
    </xf>
    <xf numFmtId="4" fontId="0" fillId="0" borderId="0" xfId="0" applyNumberFormat="1"/>
    <xf numFmtId="9" fontId="0" fillId="0" borderId="0" xfId="0" applyNumberFormat="1"/>
    <xf numFmtId="4" fontId="0" fillId="4" borderId="0" xfId="0" applyNumberFormat="1" applyFill="1"/>
    <xf numFmtId="0" fontId="5" fillId="8" borderId="0" xfId="0" applyFont="1" applyFill="1"/>
    <xf numFmtId="0" fontId="2" fillId="9" borderId="0" xfId="0" applyFont="1" applyFill="1"/>
    <xf numFmtId="0" fontId="2" fillId="10" borderId="0" xfId="0" applyFont="1" applyFill="1"/>
    <xf numFmtId="0" fontId="6" fillId="10" borderId="0" xfId="0" applyFont="1" applyFill="1"/>
    <xf numFmtId="4" fontId="6" fillId="10" borderId="0" xfId="0" applyNumberFormat="1" applyFont="1" applyFill="1"/>
    <xf numFmtId="0" fontId="0" fillId="13" borderId="0" xfId="0" applyFill="1"/>
    <xf numFmtId="165" fontId="2" fillId="14" borderId="0" xfId="0" applyNumberFormat="1" applyFont="1" applyFill="1"/>
    <xf numFmtId="164" fontId="2" fillId="14" borderId="0" xfId="0" applyNumberFormat="1" applyFont="1" applyFill="1"/>
    <xf numFmtId="4" fontId="2" fillId="14" borderId="0" xfId="0" applyNumberFormat="1" applyFont="1" applyFill="1"/>
    <xf numFmtId="3" fontId="0" fillId="0" borderId="0" xfId="0" applyNumberFormat="1"/>
    <xf numFmtId="0" fontId="8" fillId="15" borderId="0" xfId="0" applyFont="1" applyFill="1"/>
    <xf numFmtId="165" fontId="8" fillId="15" borderId="0" xfId="0" applyNumberFormat="1" applyFont="1" applyFill="1"/>
    <xf numFmtId="0" fontId="5" fillId="16" borderId="0" xfId="0" applyFont="1" applyFill="1"/>
    <xf numFmtId="0" fontId="8" fillId="17" borderId="0" xfId="0" applyFont="1" applyFill="1"/>
    <xf numFmtId="4" fontId="5" fillId="8" borderId="0" xfId="0" applyNumberFormat="1" applyFont="1" applyFill="1"/>
    <xf numFmtId="0" fontId="1" fillId="2" borderId="0" xfId="0" applyFont="1" applyFill="1" applyAlignment="1">
      <alignment vertical="center"/>
    </xf>
    <xf numFmtId="0" fontId="2" fillId="3" borderId="0" xfId="0" applyFont="1" applyFill="1"/>
    <xf numFmtId="0" fontId="5" fillId="8" borderId="0" xfId="0" applyFont="1" applyFill="1"/>
    <xf numFmtId="0" fontId="2" fillId="9" borderId="0" xfId="0" applyFont="1" applyFill="1"/>
    <xf numFmtId="0" fontId="5" fillId="11" borderId="0" xfId="0" applyFont="1" applyFill="1"/>
    <xf numFmtId="0" fontId="6" fillId="12" borderId="0" xfId="0" applyFont="1" applyFill="1"/>
    <xf numFmtId="0" fontId="0" fillId="13" borderId="0" xfId="0" applyFill="1"/>
    <xf numFmtId="0" fontId="7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59999389629810485"/>
  </sheetPr>
  <dimension ref="A1:H40"/>
  <sheetViews>
    <sheetView tabSelected="1" workbookViewId="0">
      <pane ySplit="3" topLeftCell="A4" activePane="bottomLeft" state="frozen"/>
      <selection pane="bottomLeft" activeCell="E40" sqref="E40"/>
    </sheetView>
  </sheetViews>
  <sheetFormatPr baseColWidth="10" defaultColWidth="8.6640625" defaultRowHeight="14"/>
  <cols>
    <col min="1" max="1" width="50" customWidth="1"/>
    <col min="2" max="8" width="16" customWidth="1"/>
  </cols>
  <sheetData>
    <row r="1" spans="1:8" ht="27" customHeight="1">
      <c r="A1" s="37" t="s">
        <v>0</v>
      </c>
      <c r="B1" s="37"/>
      <c r="C1" s="37"/>
      <c r="D1" s="37"/>
      <c r="E1" s="37"/>
      <c r="F1" s="37"/>
      <c r="G1" s="37"/>
      <c r="H1" s="37"/>
    </row>
    <row r="2" spans="1:8" ht="27" customHeight="1">
      <c r="A2" s="37"/>
      <c r="B2" s="37"/>
      <c r="C2" s="37"/>
      <c r="D2" s="37"/>
      <c r="E2" s="37"/>
      <c r="F2" s="37"/>
      <c r="G2" s="37"/>
      <c r="H2" s="37"/>
    </row>
    <row r="3" spans="1:8" ht="26" customHeight="1">
      <c r="A3" s="38" t="s">
        <v>1</v>
      </c>
      <c r="B3" s="38"/>
      <c r="C3" s="38"/>
      <c r="D3" s="38"/>
      <c r="E3" s="38"/>
      <c r="F3" s="38"/>
      <c r="G3" s="38"/>
      <c r="H3" s="38"/>
    </row>
    <row r="5" spans="1:8" ht="23" customHeight="1">
      <c r="A5" s="1" t="s">
        <v>2</v>
      </c>
      <c r="B5" s="1"/>
      <c r="C5" s="1"/>
      <c r="D5" s="1"/>
      <c r="E5" s="1"/>
      <c r="F5" s="1"/>
      <c r="G5" s="1"/>
      <c r="H5" s="1"/>
    </row>
    <row r="6" spans="1:8" ht="28">
      <c r="A6" s="2" t="s">
        <v>3</v>
      </c>
      <c r="B6" s="2"/>
      <c r="C6" s="2"/>
      <c r="D6" s="2"/>
      <c r="E6" s="2"/>
      <c r="F6" s="2"/>
      <c r="G6" s="2"/>
      <c r="H6" s="2"/>
    </row>
    <row r="7" spans="1:8">
      <c r="A7" s="2"/>
      <c r="B7" s="2"/>
      <c r="C7" s="2"/>
      <c r="D7" s="2"/>
      <c r="E7" s="2"/>
      <c r="F7" s="2"/>
      <c r="G7" s="2"/>
      <c r="H7" s="2"/>
    </row>
    <row r="8" spans="1:8">
      <c r="A8" s="2"/>
      <c r="B8" s="2"/>
      <c r="C8" s="2"/>
      <c r="D8" s="2"/>
      <c r="E8" s="2"/>
      <c r="F8" s="2"/>
      <c r="G8" s="2"/>
      <c r="H8" s="2"/>
    </row>
    <row r="9" spans="1:8" ht="23" customHeight="1">
      <c r="A9" s="3" t="s">
        <v>4</v>
      </c>
      <c r="B9" s="3"/>
      <c r="C9" s="3"/>
      <c r="D9" s="3"/>
      <c r="E9" s="3"/>
      <c r="F9" s="3"/>
      <c r="G9" s="3"/>
      <c r="H9" s="3"/>
    </row>
    <row r="10" spans="1:8" ht="28">
      <c r="A10" s="2" t="s">
        <v>5</v>
      </c>
      <c r="B10" s="2"/>
      <c r="C10" s="2"/>
      <c r="D10" s="2"/>
      <c r="E10" s="2"/>
      <c r="F10" s="2"/>
      <c r="G10" s="2"/>
      <c r="H10" s="2"/>
    </row>
    <row r="11" spans="1:8">
      <c r="A11" s="2"/>
      <c r="B11" s="2"/>
      <c r="C11" s="2"/>
      <c r="D11" s="2"/>
      <c r="E11" s="2"/>
      <c r="F11" s="2"/>
      <c r="G11" s="2"/>
      <c r="H11" s="2"/>
    </row>
    <row r="12" spans="1:8">
      <c r="A12" s="2"/>
      <c r="B12" s="2"/>
      <c r="C12" s="2"/>
      <c r="D12" s="2"/>
      <c r="E12" s="2"/>
      <c r="F12" s="2"/>
      <c r="G12" s="2"/>
      <c r="H12" s="2"/>
    </row>
    <row r="13" spans="1:8" ht="23" customHeight="1">
      <c r="A13" s="3" t="s">
        <v>6</v>
      </c>
      <c r="B13" s="3"/>
      <c r="C13" s="3"/>
      <c r="D13" s="3"/>
      <c r="E13" s="3"/>
      <c r="F13" s="3"/>
      <c r="G13" s="3"/>
      <c r="H13" s="3"/>
    </row>
    <row r="14" spans="1:8" ht="28">
      <c r="A14" s="2" t="s">
        <v>7</v>
      </c>
      <c r="B14" s="2"/>
      <c r="C14" s="2"/>
      <c r="D14" s="2"/>
      <c r="E14" s="2"/>
      <c r="F14" s="2"/>
      <c r="G14" s="2"/>
      <c r="H14" s="2"/>
    </row>
    <row r="15" spans="1:8">
      <c r="A15" s="2"/>
      <c r="B15" s="2"/>
      <c r="C15" s="2"/>
      <c r="D15" s="2"/>
      <c r="E15" s="2"/>
      <c r="F15" s="2"/>
      <c r="G15" s="2"/>
      <c r="H15" s="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 ht="23" customHeight="1">
      <c r="A17" s="3" t="s">
        <v>8</v>
      </c>
      <c r="B17" s="3"/>
      <c r="C17" s="3"/>
      <c r="D17" s="3"/>
      <c r="E17" s="3"/>
      <c r="F17" s="3"/>
      <c r="G17" s="3"/>
      <c r="H17" s="3"/>
    </row>
    <row r="18" spans="1:8" ht="28">
      <c r="A18" s="2" t="s">
        <v>9</v>
      </c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 ht="23" customHeight="1">
      <c r="A21" s="3" t="s">
        <v>10</v>
      </c>
      <c r="B21" s="3"/>
      <c r="C21" s="3"/>
      <c r="D21" s="3"/>
      <c r="E21" s="3"/>
      <c r="F21" s="3"/>
      <c r="G21" s="3"/>
      <c r="H21" s="3"/>
    </row>
    <row r="22" spans="1:8" ht="28">
      <c r="A22" s="2" t="s">
        <v>11</v>
      </c>
      <c r="B22" s="2"/>
      <c r="C22" s="2"/>
      <c r="D22" s="2"/>
      <c r="E22" s="2"/>
      <c r="F22" s="2"/>
      <c r="G22" s="2"/>
      <c r="H22" s="2"/>
    </row>
    <row r="23" spans="1:8">
      <c r="A23" s="2"/>
      <c r="B23" s="2"/>
      <c r="C23" s="2"/>
      <c r="D23" s="2"/>
      <c r="E23" s="2"/>
      <c r="F23" s="2"/>
      <c r="G23" s="2"/>
      <c r="H23" s="2"/>
    </row>
    <row r="24" spans="1:8">
      <c r="A24" s="2"/>
      <c r="B24" s="2"/>
      <c r="C24" s="2"/>
      <c r="D24" s="2"/>
      <c r="E24" s="2"/>
      <c r="F24" s="2"/>
      <c r="G24" s="2"/>
      <c r="H24" s="2"/>
    </row>
    <row r="25" spans="1:8">
      <c r="A25" s="2"/>
      <c r="B25" s="2"/>
      <c r="C25" s="2"/>
      <c r="D25" s="2"/>
      <c r="E25" s="2"/>
      <c r="F25" s="2"/>
      <c r="G25" s="2"/>
      <c r="H25" s="2"/>
    </row>
    <row r="26" spans="1:8" ht="23" customHeight="1">
      <c r="A26" s="3" t="s">
        <v>12</v>
      </c>
      <c r="B26" s="3"/>
      <c r="C26" s="3"/>
      <c r="D26" s="3"/>
      <c r="E26" s="3"/>
      <c r="F26" s="3"/>
      <c r="G26" s="3"/>
      <c r="H26" s="3"/>
    </row>
    <row r="27" spans="1:8" ht="28">
      <c r="A27" s="2" t="s">
        <v>13</v>
      </c>
      <c r="B27" s="2"/>
      <c r="C27" s="2"/>
      <c r="D27" s="2"/>
      <c r="E27" s="2"/>
      <c r="F27" s="2"/>
      <c r="G27" s="2"/>
      <c r="H27" s="2"/>
    </row>
    <row r="28" spans="1:8">
      <c r="A28" s="2"/>
      <c r="B28" s="2"/>
      <c r="C28" s="2"/>
      <c r="D28" s="2"/>
      <c r="E28" s="2"/>
      <c r="F28" s="2"/>
      <c r="G28" s="2"/>
      <c r="H28" s="2"/>
    </row>
    <row r="29" spans="1:8">
      <c r="A29" s="2"/>
      <c r="B29" s="2"/>
      <c r="C29" s="2"/>
      <c r="D29" s="2"/>
      <c r="E29" s="2"/>
      <c r="F29" s="2"/>
      <c r="G29" s="2"/>
      <c r="H29" s="2"/>
    </row>
    <row r="30" spans="1:8" ht="23" customHeight="1">
      <c r="A30" s="3" t="s">
        <v>14</v>
      </c>
      <c r="B30" s="3"/>
      <c r="C30" s="3"/>
      <c r="D30" s="3"/>
      <c r="E30" s="3"/>
      <c r="F30" s="3"/>
      <c r="G30" s="3"/>
      <c r="H30" s="3"/>
    </row>
    <row r="31" spans="1:8" ht="28">
      <c r="A31" s="2" t="s">
        <v>15</v>
      </c>
      <c r="B31" s="2"/>
      <c r="C31" s="2"/>
      <c r="D31" s="2"/>
      <c r="E31" s="2"/>
      <c r="F31" s="2"/>
      <c r="G31" s="2"/>
      <c r="H31" s="2"/>
    </row>
    <row r="32" spans="1:8">
      <c r="A32" s="2"/>
      <c r="B32" s="2"/>
      <c r="C32" s="2"/>
      <c r="D32" s="2"/>
      <c r="E32" s="2"/>
      <c r="F32" s="2"/>
      <c r="G32" s="2"/>
      <c r="H32" s="2"/>
    </row>
    <row r="33" spans="1:8">
      <c r="A33" s="2"/>
      <c r="B33" s="2"/>
      <c r="C33" s="2"/>
      <c r="D33" s="2"/>
      <c r="E33" s="2"/>
      <c r="F33" s="2"/>
      <c r="G33" s="2"/>
      <c r="H33" s="2"/>
    </row>
    <row r="34" spans="1:8" ht="23" customHeight="1">
      <c r="A34" s="3" t="s">
        <v>16</v>
      </c>
      <c r="B34" s="3"/>
      <c r="C34" s="3"/>
      <c r="D34" s="3"/>
      <c r="E34" s="3"/>
      <c r="F34" s="3"/>
      <c r="G34" s="3"/>
      <c r="H34" s="3"/>
    </row>
    <row r="35" spans="1:8" ht="28">
      <c r="A35" s="2" t="s">
        <v>17</v>
      </c>
      <c r="B35" s="2"/>
      <c r="C35" s="2"/>
      <c r="D35" s="2"/>
      <c r="E35" s="2"/>
      <c r="F35" s="2"/>
      <c r="G35" s="2"/>
      <c r="H35" s="2"/>
    </row>
    <row r="36" spans="1:8">
      <c r="A36" s="2"/>
      <c r="B36" s="2"/>
      <c r="C36" s="2"/>
      <c r="D36" s="2"/>
      <c r="E36" s="2"/>
      <c r="F36" s="2"/>
      <c r="G36" s="2"/>
      <c r="H36" s="2"/>
    </row>
    <row r="38" spans="1:8">
      <c r="A38" t="s">
        <v>18</v>
      </c>
    </row>
    <row r="40" spans="1:8" ht="30" customHeight="1">
      <c r="A40" s="23" t="str">
        <f>HYPERLINK("#'PRACTICE A'!A1","PRACTICE A")</f>
        <v>PRACTICE A</v>
      </c>
      <c r="B40" s="23" t="str">
        <f>HYPERLINK("#'PRACTICE B'!A1","PRACTICE B")</f>
        <v>PRACTICE B</v>
      </c>
      <c r="C40" s="23" t="str">
        <f>HYPERLINK("#'PRACTICE C'!A1","PRACTICE C")</f>
        <v>PRACTICE C</v>
      </c>
      <c r="D40" s="23" t="str">
        <f>HYPERLINK("#'EXERCISE A-B-C'!A1","EXERCISE A/B/C")</f>
        <v>EXERCISE A/B/C</v>
      </c>
      <c r="E40" s="23" t="str">
        <f>HYPERLINK("#'COMPARE PRODUCTS'!A1","COMPARISON")</f>
        <v>COMPARISON</v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8"/>
  <sheetViews>
    <sheetView workbookViewId="0">
      <pane ySplit="3" topLeftCell="A37" activePane="bottomLeft" state="frozen"/>
      <selection pane="bottomLeft" activeCell="B30" sqref="B30"/>
    </sheetView>
  </sheetViews>
  <sheetFormatPr baseColWidth="10" defaultColWidth="8.6640625" defaultRowHeight="14"/>
  <cols>
    <col min="1" max="1" width="43" customWidth="1"/>
    <col min="2" max="4" width="22" customWidth="1"/>
  </cols>
  <sheetData>
    <row r="1" spans="1:4" ht="27" customHeight="1">
      <c r="A1" s="37" t="s">
        <v>19</v>
      </c>
      <c r="B1" s="37"/>
      <c r="C1" s="37"/>
      <c r="D1" s="37"/>
    </row>
    <row r="2" spans="1:4" ht="27" customHeight="1">
      <c r="A2" s="37"/>
      <c r="B2" s="37"/>
      <c r="C2" s="37"/>
      <c r="D2" s="37"/>
    </row>
    <row r="3" spans="1:4" ht="26" customHeight="1">
      <c r="A3" s="38" t="s">
        <v>20</v>
      </c>
      <c r="B3" s="38"/>
      <c r="C3" s="38"/>
      <c r="D3" s="38"/>
    </row>
    <row r="5" spans="1:4" ht="24" customHeight="1">
      <c r="A5" s="4" t="s">
        <v>21</v>
      </c>
      <c r="B5" s="4" t="s">
        <v>22</v>
      </c>
      <c r="C5" s="4" t="s">
        <v>23</v>
      </c>
      <c r="D5" s="4" t="s">
        <v>24</v>
      </c>
    </row>
    <row r="6" spans="1:4" ht="24" customHeight="1">
      <c r="A6" t="s">
        <v>25</v>
      </c>
      <c r="B6" s="13">
        <v>199</v>
      </c>
      <c r="C6" s="13">
        <v>349</v>
      </c>
      <c r="D6" s="13">
        <v>599</v>
      </c>
    </row>
    <row r="7" spans="1:4" ht="24" customHeight="1">
      <c r="A7" t="s">
        <v>26</v>
      </c>
      <c r="B7" s="13">
        <v>35</v>
      </c>
      <c r="C7" s="13">
        <v>75</v>
      </c>
      <c r="D7" s="13">
        <v>120</v>
      </c>
    </row>
    <row r="8" spans="1:4" ht="24" customHeight="1">
      <c r="A8" t="s">
        <v>27</v>
      </c>
      <c r="B8" s="13">
        <v>5</v>
      </c>
      <c r="C8" s="13">
        <v>10</v>
      </c>
      <c r="D8" s="13">
        <v>15</v>
      </c>
    </row>
    <row r="9" spans="1:4" ht="24" customHeight="1">
      <c r="A9" t="s">
        <v>28</v>
      </c>
      <c r="B9" s="13">
        <v>30</v>
      </c>
      <c r="C9" s="13">
        <v>35</v>
      </c>
      <c r="D9" s="13">
        <v>40</v>
      </c>
    </row>
    <row r="10" spans="1:4" ht="24" customHeight="1">
      <c r="A10" t="s">
        <v>29</v>
      </c>
      <c r="B10" s="13">
        <v>18</v>
      </c>
      <c r="C10" s="13">
        <v>25</v>
      </c>
      <c r="D10" s="13">
        <v>40</v>
      </c>
    </row>
    <row r="11" spans="1:4" ht="24" customHeight="1">
      <c r="A11" t="s">
        <v>30</v>
      </c>
      <c r="B11" s="10">
        <v>0.65</v>
      </c>
      <c r="C11" s="10">
        <v>0.72</v>
      </c>
      <c r="D11" s="10">
        <v>0.78</v>
      </c>
    </row>
    <row r="12" spans="1:4" ht="24" customHeight="1">
      <c r="A12" t="s">
        <v>31</v>
      </c>
      <c r="B12" s="10">
        <v>0.78</v>
      </c>
      <c r="C12" s="10">
        <v>0.83</v>
      </c>
      <c r="D12" s="10">
        <v>0.88</v>
      </c>
    </row>
    <row r="13" spans="1:4" ht="24" customHeight="1">
      <c r="A13" t="s">
        <v>32</v>
      </c>
      <c r="B13" s="13">
        <v>2000</v>
      </c>
      <c r="C13" s="13">
        <v>3000</v>
      </c>
      <c r="D13" s="13">
        <v>5000</v>
      </c>
    </row>
    <row r="14" spans="1:4" ht="24" customHeight="1">
      <c r="A14" t="s">
        <v>33</v>
      </c>
      <c r="B14" s="13">
        <v>3</v>
      </c>
      <c r="C14" s="13">
        <v>3</v>
      </c>
      <c r="D14" s="13">
        <v>3</v>
      </c>
    </row>
    <row r="15" spans="1:4" ht="24" customHeight="1">
      <c r="A15" t="s">
        <v>34</v>
      </c>
      <c r="B15" s="13">
        <v>25</v>
      </c>
      <c r="C15" s="13">
        <v>25</v>
      </c>
      <c r="D15" s="13">
        <v>25</v>
      </c>
    </row>
    <row r="16" spans="1:4" ht="24" customHeight="1">
      <c r="A16" t="s">
        <v>35</v>
      </c>
      <c r="B16" s="6">
        <v>22</v>
      </c>
      <c r="C16" s="6">
        <v>22</v>
      </c>
      <c r="D16" s="6">
        <v>22</v>
      </c>
    </row>
    <row r="17" spans="1:4" ht="24" customHeight="1">
      <c r="A17" t="s">
        <v>36</v>
      </c>
      <c r="B17" s="6">
        <v>30</v>
      </c>
      <c r="C17" s="6">
        <v>30</v>
      </c>
      <c r="D17" s="6">
        <v>30</v>
      </c>
    </row>
    <row r="18" spans="1:4" ht="24" customHeight="1"/>
    <row r="19" spans="1:4" ht="24" customHeight="1">
      <c r="A19" s="4" t="s">
        <v>37</v>
      </c>
      <c r="B19" s="4"/>
      <c r="C19" s="4"/>
      <c r="D19" s="4"/>
    </row>
    <row r="20" spans="1:4" ht="24" customHeight="1">
      <c r="A20" t="s">
        <v>38</v>
      </c>
      <c r="B20" s="14">
        <f>SUM(B7:B9)</f>
        <v>70</v>
      </c>
      <c r="C20" s="14">
        <f>SUM(C7:C9)</f>
        <v>120</v>
      </c>
      <c r="D20" s="14">
        <f>SUM(D7:D9)</f>
        <v>175</v>
      </c>
    </row>
    <row r="21" spans="1:4" ht="24" customHeight="1">
      <c r="A21" t="s">
        <v>39</v>
      </c>
      <c r="B21" s="14">
        <f>B6-B20</f>
        <v>129</v>
      </c>
      <c r="C21" s="14">
        <f>C6-C20</f>
        <v>229</v>
      </c>
      <c r="D21" s="14">
        <f>D6-D20</f>
        <v>424</v>
      </c>
    </row>
    <row r="22" spans="1:4" ht="24" customHeight="1">
      <c r="A22" t="s">
        <v>40</v>
      </c>
      <c r="B22" s="11">
        <f>IFERROR(B21/B6,0)</f>
        <v>0.64824120603015079</v>
      </c>
      <c r="C22" s="11">
        <f>IFERROR(C21/C6,0)</f>
        <v>0.65616045845272208</v>
      </c>
      <c r="D22" s="11">
        <f>IFERROR(D21/D6,0)</f>
        <v>0.70784641068447407</v>
      </c>
    </row>
    <row r="23" spans="1:4" ht="24" customHeight="1">
      <c r="A23" t="s">
        <v>41</v>
      </c>
      <c r="B23" s="7">
        <f>B16*B11</f>
        <v>14.3</v>
      </c>
      <c r="C23" s="7">
        <f>C16*C11</f>
        <v>15.84</v>
      </c>
      <c r="D23" s="7">
        <f>D16*D11</f>
        <v>17.16</v>
      </c>
    </row>
    <row r="24" spans="1:4" ht="24" customHeight="1">
      <c r="A24" t="s">
        <v>42</v>
      </c>
      <c r="B24" s="7">
        <f>B23*B12</f>
        <v>11.154000000000002</v>
      </c>
      <c r="C24" s="7">
        <f>C23*C12</f>
        <v>13.1472</v>
      </c>
      <c r="D24" s="7">
        <f>D23*D12</f>
        <v>15.1008</v>
      </c>
    </row>
    <row r="25" spans="1:4" ht="24" customHeight="1">
      <c r="A25" t="s">
        <v>43</v>
      </c>
      <c r="B25" s="11">
        <f>1-B12</f>
        <v>0.21999999999999997</v>
      </c>
      <c r="C25" s="11">
        <f>1-C12</f>
        <v>0.17000000000000004</v>
      </c>
      <c r="D25" s="11">
        <f>1-D12</f>
        <v>0.12</v>
      </c>
    </row>
    <row r="26" spans="1:4" ht="24" customHeight="1">
      <c r="A26" t="s">
        <v>44</v>
      </c>
      <c r="B26" s="7">
        <f>B23*B25</f>
        <v>3.1459999999999999</v>
      </c>
      <c r="C26" s="7">
        <f>C23*C25</f>
        <v>2.6928000000000005</v>
      </c>
      <c r="D26" s="7">
        <f>D23*D25</f>
        <v>2.0592000000000001</v>
      </c>
    </row>
    <row r="27" spans="1:4" ht="24" customHeight="1">
      <c r="A27" t="s">
        <v>45</v>
      </c>
      <c r="B27" s="14">
        <f>IFERROR(B10/(B11*B12),0)</f>
        <v>35.502958579881657</v>
      </c>
      <c r="C27" s="14">
        <f>IFERROR(C10/(C11*C12),0)</f>
        <v>41.834002677376176</v>
      </c>
      <c r="D27" s="14">
        <f>IFERROR(D10/(D11*D12),0)</f>
        <v>58.275058275058271</v>
      </c>
    </row>
    <row r="28" spans="1:4" ht="24" customHeight="1">
      <c r="A28" t="s">
        <v>46</v>
      </c>
      <c r="B28" s="14">
        <f>IFERROR(B14/B12,0)</f>
        <v>3.8461538461538458</v>
      </c>
      <c r="C28" s="14">
        <f>IFERROR(C14/C12,0)</f>
        <v>3.6144578313253013</v>
      </c>
      <c r="D28" s="14">
        <f>IFERROR(D14/D12,0)</f>
        <v>3.4090909090909092</v>
      </c>
    </row>
    <row r="29" spans="1:4" ht="24" customHeight="1">
      <c r="A29" t="s">
        <v>47</v>
      </c>
      <c r="B29" s="14">
        <f>IFERROR(B15*B25/B12,0)</f>
        <v>7.0512820512820502</v>
      </c>
      <c r="C29" s="14">
        <f>IFERROR(C15*C25/C12,0)</f>
        <v>5.1204819277108449</v>
      </c>
      <c r="D29" s="14">
        <f>IFERROR(D15*D25/D12,0)</f>
        <v>3.4090909090909092</v>
      </c>
    </row>
    <row r="30" spans="1:4" ht="24" customHeight="1">
      <c r="A30" t="s">
        <v>48</v>
      </c>
      <c r="B30" s="14">
        <f>SUM(B20,B27:B29)</f>
        <v>116.40039447731755</v>
      </c>
      <c r="C30" s="14">
        <f>SUM(C20,C27:C29)</f>
        <v>170.56894243641233</v>
      </c>
      <c r="D30" s="14">
        <f>SUM(D20,D27:D29)</f>
        <v>240.09324009324007</v>
      </c>
    </row>
    <row r="31" spans="1:4" ht="24" customHeight="1">
      <c r="A31" t="s">
        <v>49</v>
      </c>
      <c r="B31" s="14">
        <f>B6-B30</f>
        <v>82.599605522682452</v>
      </c>
      <c r="C31" s="14">
        <f>C6-C30</f>
        <v>178.43105756358767</v>
      </c>
      <c r="D31" s="14">
        <f>D6-D30</f>
        <v>358.90675990675993</v>
      </c>
    </row>
    <row r="32" spans="1:4" ht="24" customHeight="1">
      <c r="A32" t="s">
        <v>50</v>
      </c>
      <c r="B32" s="11">
        <f>IFERROR(B31/B6,0)</f>
        <v>0.41507339458634396</v>
      </c>
      <c r="C32" s="11">
        <f>IFERROR(C31/C6,0)</f>
        <v>0.51126377525383282</v>
      </c>
      <c r="D32" s="11">
        <f>IFERROR(D31/D6,0)</f>
        <v>0.59917656077923198</v>
      </c>
    </row>
    <row r="33" spans="1:4" ht="24" customHeight="1">
      <c r="A33" t="s">
        <v>51</v>
      </c>
      <c r="B33" s="7">
        <f>B24*B17</f>
        <v>334.62000000000006</v>
      </c>
      <c r="C33" s="7">
        <f>C24*C17</f>
        <v>394.416</v>
      </c>
      <c r="D33" s="7">
        <f>D24*D17</f>
        <v>453.024</v>
      </c>
    </row>
    <row r="34" spans="1:4" ht="24" customHeight="1">
      <c r="A34" t="s">
        <v>52</v>
      </c>
      <c r="B34" s="14">
        <f>IFERROR(B13/B33,0)</f>
        <v>5.97692905385213</v>
      </c>
      <c r="C34" s="14">
        <f>IFERROR(C13/C33,0)</f>
        <v>7.6061823049774855</v>
      </c>
      <c r="D34" s="14">
        <f>IFERROR(D13/D33,0)</f>
        <v>11.036942855124673</v>
      </c>
    </row>
    <row r="35" spans="1:4" ht="24" customHeight="1">
      <c r="A35" s="8" t="s">
        <v>53</v>
      </c>
      <c r="B35" s="15">
        <f>B31-B34</f>
        <v>76.622676468830321</v>
      </c>
      <c r="C35" s="15">
        <f>C31-C34</f>
        <v>170.82487525861018</v>
      </c>
      <c r="D35" s="15">
        <f>D31-D34</f>
        <v>347.86981705163527</v>
      </c>
    </row>
    <row r="36" spans="1:4" ht="24" customHeight="1">
      <c r="A36" s="8" t="s">
        <v>54</v>
      </c>
      <c r="B36" s="12">
        <f>IFERROR(B35/B6,0)</f>
        <v>0.38503857522025287</v>
      </c>
      <c r="C36" s="12">
        <f>IFERROR(C35/C6,0)</f>
        <v>0.48946955661492886</v>
      </c>
      <c r="D36" s="12">
        <f>IFERROR(D35/D6,0)</f>
        <v>0.58075094666383187</v>
      </c>
    </row>
    <row r="37" spans="1:4" ht="24" customHeight="1">
      <c r="A37" s="9" t="s">
        <v>55</v>
      </c>
      <c r="B37" s="9">
        <f>IF(B31&lt;=0,"N/A",ROUNDUP(B13/B31,0))</f>
        <v>25</v>
      </c>
      <c r="C37" s="9">
        <f>IF(C31&lt;=0,"N/A",ROUNDUP(C13/C31,0))</f>
        <v>17</v>
      </c>
      <c r="D37" s="9">
        <f>IF(D31&lt;=0,"N/A",ROUNDUP(D13/D31,0))</f>
        <v>14</v>
      </c>
    </row>
    <row r="38" spans="1:4" ht="24" customHeight="1">
      <c r="A38" s="9" t="s">
        <v>56</v>
      </c>
      <c r="B38" s="16">
        <f>IF(B31&lt;=0,"N/A",B37*B6)</f>
        <v>4975</v>
      </c>
      <c r="C38" s="16">
        <f>IF(C31&lt;=0,"N/A",C37*C6)</f>
        <v>5933</v>
      </c>
      <c r="D38" s="16">
        <f>IF(D31&lt;=0,"N/A",D37*D6)</f>
        <v>8386</v>
      </c>
    </row>
    <row r="39" spans="1:4" ht="24" customHeight="1">
      <c r="A39" s="9" t="s">
        <v>57</v>
      </c>
      <c r="B39" s="16">
        <f>B33*B31-B13</f>
        <v>25639.480000000007</v>
      </c>
      <c r="C39" s="16">
        <f>C33*C31-C13</f>
        <v>67376.063999999998</v>
      </c>
      <c r="D39" s="16">
        <f>D33*D31-D13</f>
        <v>157593.37600000002</v>
      </c>
    </row>
    <row r="40" spans="1:4" ht="24" customHeight="1">
      <c r="A40" t="s">
        <v>58</v>
      </c>
      <c r="B40" s="14">
        <f>IF(B31&lt;=0,"N/A",B37*B31-B13)</f>
        <v>64.990138067061253</v>
      </c>
      <c r="C40" s="14">
        <f>IF(C31&lt;=0,"N/A",C37*C31-C13)</f>
        <v>33.327978580990475</v>
      </c>
      <c r="D40" s="14">
        <f>IF(D31&lt;=0,"N/A",D37*D31-D13)</f>
        <v>24.694638694639252</v>
      </c>
    </row>
    <row r="41" spans="1:4" ht="24" customHeight="1"/>
    <row r="42" spans="1:4" ht="24" customHeight="1">
      <c r="A42" s="4" t="s">
        <v>59</v>
      </c>
      <c r="B42" s="4"/>
      <c r="C42" s="4"/>
      <c r="D42" s="4"/>
    </row>
    <row r="43" spans="1:4" ht="27" customHeight="1">
      <c r="A43" s="17" t="s">
        <v>60</v>
      </c>
      <c r="B43" s="1" t="str">
        <f>INDEX(B5:D5,1,MATCH(MAX(B35:D35),B35:D35,0))</f>
        <v>PRODUCT C</v>
      </c>
    </row>
    <row r="44" spans="1:4" ht="27" customHeight="1">
      <c r="A44" s="17" t="s">
        <v>61</v>
      </c>
      <c r="B44" s="1" t="str">
        <f>INDEX(B5:D5,1,MATCH(MAX(B39:D39),B39:D39,0))</f>
        <v>PRODUCT C</v>
      </c>
    </row>
    <row r="45" spans="1:4" ht="27" customHeight="1">
      <c r="A45" s="17" t="s">
        <v>62</v>
      </c>
      <c r="B45" s="1" t="str">
        <f>INDEX(B5:D5,1,MATCH(MIN(B37:D37),B37:D37,0))</f>
        <v>PRODUCT C</v>
      </c>
    </row>
    <row r="47" spans="1:4" ht="42">
      <c r="A47" s="2" t="s">
        <v>63</v>
      </c>
      <c r="B47" s="2"/>
      <c r="C47" s="2"/>
      <c r="D47" s="2"/>
    </row>
    <row r="48" spans="1:4" ht="42">
      <c r="A48" s="2" t="s">
        <v>64</v>
      </c>
      <c r="B48" s="2"/>
      <c r="C48" s="2"/>
      <c r="D48" s="2"/>
    </row>
  </sheetData>
  <mergeCells count="2">
    <mergeCell ref="A1:D2"/>
    <mergeCell ref="A3:D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59999389629810485"/>
  </sheetPr>
  <dimension ref="A1:D48"/>
  <sheetViews>
    <sheetView workbookViewId="0">
      <pane ySplit="3" topLeftCell="A4" activePane="bottomLeft" state="frozen"/>
      <selection pane="bottomLeft" activeCell="B7" sqref="B7"/>
    </sheetView>
  </sheetViews>
  <sheetFormatPr baseColWidth="10" defaultColWidth="8.6640625" defaultRowHeight="14"/>
  <cols>
    <col min="1" max="1" width="43" customWidth="1"/>
    <col min="2" max="4" width="22" customWidth="1"/>
  </cols>
  <sheetData>
    <row r="1" spans="1:4" ht="27" customHeight="1">
      <c r="A1" s="37" t="s">
        <v>65</v>
      </c>
      <c r="B1" s="37"/>
      <c r="C1" s="37"/>
      <c r="D1" s="37"/>
    </row>
    <row r="2" spans="1:4" ht="27" customHeight="1">
      <c r="A2" s="37"/>
      <c r="B2" s="37"/>
      <c r="C2" s="37"/>
      <c r="D2" s="37"/>
    </row>
    <row r="3" spans="1:4" ht="26" customHeight="1">
      <c r="A3" s="38" t="s">
        <v>20</v>
      </c>
      <c r="B3" s="38"/>
      <c r="C3" s="38"/>
      <c r="D3" s="38"/>
    </row>
    <row r="5" spans="1:4" ht="24" customHeight="1">
      <c r="A5" s="4" t="s">
        <v>21</v>
      </c>
      <c r="B5" s="4" t="s">
        <v>22</v>
      </c>
      <c r="C5" s="4" t="s">
        <v>23</v>
      </c>
      <c r="D5" s="4" t="s">
        <v>24</v>
      </c>
    </row>
    <row r="6" spans="1:4" ht="24" customHeight="1">
      <c r="A6" t="s">
        <v>25</v>
      </c>
      <c r="B6" s="13">
        <v>199</v>
      </c>
      <c r="C6" s="13">
        <v>349</v>
      </c>
      <c r="D6" s="13">
        <v>599</v>
      </c>
    </row>
    <row r="7" spans="1:4" ht="24" customHeight="1">
      <c r="A7" t="s">
        <v>26</v>
      </c>
      <c r="B7" s="13">
        <v>35</v>
      </c>
      <c r="C7" s="13">
        <v>75</v>
      </c>
      <c r="D7" s="13">
        <v>120</v>
      </c>
    </row>
    <row r="8" spans="1:4" ht="24" customHeight="1">
      <c r="A8" t="s">
        <v>27</v>
      </c>
      <c r="B8" s="13">
        <v>5</v>
      </c>
      <c r="C8" s="13">
        <v>10</v>
      </c>
      <c r="D8" s="13">
        <v>15</v>
      </c>
    </row>
    <row r="9" spans="1:4" ht="24" customHeight="1">
      <c r="A9" t="s">
        <v>28</v>
      </c>
      <c r="B9" s="13">
        <v>30</v>
      </c>
      <c r="C9" s="13">
        <v>35</v>
      </c>
      <c r="D9" s="13">
        <v>40</v>
      </c>
    </row>
    <row r="10" spans="1:4" ht="24" customHeight="1">
      <c r="A10" t="s">
        <v>29</v>
      </c>
      <c r="B10" s="13">
        <v>18</v>
      </c>
      <c r="C10" s="13">
        <v>25</v>
      </c>
      <c r="D10" s="13">
        <v>40</v>
      </c>
    </row>
    <row r="11" spans="1:4" ht="24" customHeight="1">
      <c r="A11" t="s">
        <v>30</v>
      </c>
      <c r="B11" s="10">
        <v>0.65</v>
      </c>
      <c r="C11" s="10">
        <v>0.72</v>
      </c>
      <c r="D11" s="10">
        <v>0.78</v>
      </c>
    </row>
    <row r="12" spans="1:4" ht="24" customHeight="1">
      <c r="A12" t="s">
        <v>31</v>
      </c>
      <c r="B12" s="10">
        <v>0.78</v>
      </c>
      <c r="C12" s="10">
        <v>0.83</v>
      </c>
      <c r="D12" s="10">
        <v>0.88</v>
      </c>
    </row>
    <row r="13" spans="1:4" ht="24" customHeight="1">
      <c r="A13" t="s">
        <v>32</v>
      </c>
      <c r="B13" s="13">
        <v>2000</v>
      </c>
      <c r="C13" s="13">
        <v>3000</v>
      </c>
      <c r="D13" s="13">
        <v>5000</v>
      </c>
    </row>
    <row r="14" spans="1:4" ht="24" customHeight="1">
      <c r="A14" t="s">
        <v>33</v>
      </c>
      <c r="B14" s="13">
        <v>3</v>
      </c>
      <c r="C14" s="13">
        <v>3</v>
      </c>
      <c r="D14" s="13">
        <v>3</v>
      </c>
    </row>
    <row r="15" spans="1:4" ht="24" customHeight="1">
      <c r="A15" t="s">
        <v>34</v>
      </c>
      <c r="B15" s="13">
        <v>25</v>
      </c>
      <c r="C15" s="13">
        <v>25</v>
      </c>
      <c r="D15" s="13">
        <v>25</v>
      </c>
    </row>
    <row r="16" spans="1:4" ht="24" customHeight="1">
      <c r="A16" t="s">
        <v>35</v>
      </c>
      <c r="B16" s="6">
        <v>22</v>
      </c>
      <c r="C16" s="6">
        <v>22</v>
      </c>
      <c r="D16" s="6">
        <v>22</v>
      </c>
    </row>
    <row r="17" spans="1:4" ht="24" customHeight="1">
      <c r="A17" t="s">
        <v>36</v>
      </c>
      <c r="B17" s="6">
        <v>30</v>
      </c>
      <c r="C17" s="6">
        <v>30</v>
      </c>
      <c r="D17" s="6">
        <v>30</v>
      </c>
    </row>
    <row r="18" spans="1:4" ht="24" customHeight="1"/>
    <row r="19" spans="1:4" ht="24" customHeight="1">
      <c r="A19" s="4" t="s">
        <v>37</v>
      </c>
      <c r="B19" s="4"/>
      <c r="C19" s="4"/>
      <c r="D19" s="4"/>
    </row>
    <row r="20" spans="1:4" ht="24" customHeight="1">
      <c r="A20" t="s">
        <v>38</v>
      </c>
      <c r="B20" s="14">
        <f>SUM(B7:B9)</f>
        <v>70</v>
      </c>
      <c r="C20" s="14">
        <f>SUM(C7:C9)</f>
        <v>120</v>
      </c>
      <c r="D20" s="14">
        <f>SUM(D7:D9)</f>
        <v>175</v>
      </c>
    </row>
    <row r="21" spans="1:4" ht="24" customHeight="1">
      <c r="A21" t="s">
        <v>39</v>
      </c>
      <c r="B21" s="14">
        <f>B6-B20</f>
        <v>129</v>
      </c>
      <c r="C21" s="14">
        <f>C6-C20</f>
        <v>229</v>
      </c>
      <c r="D21" s="14">
        <f>D6-D20</f>
        <v>424</v>
      </c>
    </row>
    <row r="22" spans="1:4" ht="24" customHeight="1">
      <c r="A22" t="s">
        <v>40</v>
      </c>
      <c r="B22" s="11">
        <f>IFERROR(B21/B6,0)</f>
        <v>0.64824120603015079</v>
      </c>
      <c r="C22" s="11">
        <f>IFERROR(C21/C6,0)</f>
        <v>0.65616045845272208</v>
      </c>
      <c r="D22" s="11">
        <f>IFERROR(D21/D6,0)</f>
        <v>0.70784641068447407</v>
      </c>
    </row>
    <row r="23" spans="1:4" ht="24" customHeight="1">
      <c r="A23" t="s">
        <v>41</v>
      </c>
      <c r="B23" s="7">
        <f>B16*B11</f>
        <v>14.3</v>
      </c>
      <c r="C23" s="7">
        <f>C16*C11</f>
        <v>15.84</v>
      </c>
      <c r="D23" s="7">
        <f>D16*D11</f>
        <v>17.16</v>
      </c>
    </row>
    <row r="24" spans="1:4" ht="24" customHeight="1">
      <c r="A24" t="s">
        <v>42</v>
      </c>
      <c r="B24" s="7">
        <f>B23*B12</f>
        <v>11.154000000000002</v>
      </c>
      <c r="C24" s="7">
        <f>C23*C12</f>
        <v>13.1472</v>
      </c>
      <c r="D24" s="7">
        <f>D23*D12</f>
        <v>15.1008</v>
      </c>
    </row>
    <row r="25" spans="1:4" ht="24" customHeight="1">
      <c r="A25" t="s">
        <v>43</v>
      </c>
      <c r="B25" s="11">
        <f>1-B12</f>
        <v>0.21999999999999997</v>
      </c>
      <c r="C25" s="11">
        <f>1-C12</f>
        <v>0.17000000000000004</v>
      </c>
      <c r="D25" s="11">
        <f>1-D12</f>
        <v>0.12</v>
      </c>
    </row>
    <row r="26" spans="1:4" ht="24" customHeight="1">
      <c r="A26" t="s">
        <v>44</v>
      </c>
      <c r="B26" s="7">
        <f>B23*B25</f>
        <v>3.1459999999999999</v>
      </c>
      <c r="C26" s="7">
        <f>C23*C25</f>
        <v>2.6928000000000005</v>
      </c>
      <c r="D26" s="7">
        <f>D23*D25</f>
        <v>2.0592000000000001</v>
      </c>
    </row>
    <row r="27" spans="1:4" ht="24" customHeight="1">
      <c r="A27" t="s">
        <v>45</v>
      </c>
      <c r="B27" s="14">
        <f>IFERROR(B10/(B11*B12),0)</f>
        <v>35.502958579881657</v>
      </c>
      <c r="C27" s="14">
        <f>IFERROR(C10/(C11*C12),0)</f>
        <v>41.834002677376176</v>
      </c>
      <c r="D27" s="14">
        <f>IFERROR(D10/(D11*D12),0)</f>
        <v>58.275058275058271</v>
      </c>
    </row>
    <row r="28" spans="1:4" ht="24" customHeight="1">
      <c r="A28" t="s">
        <v>46</v>
      </c>
      <c r="B28" s="14">
        <f>IFERROR(B14/B12,0)</f>
        <v>3.8461538461538458</v>
      </c>
      <c r="C28" s="14">
        <f>IFERROR(C14/C12,0)</f>
        <v>3.6144578313253013</v>
      </c>
      <c r="D28" s="14">
        <f>IFERROR(D14/D12,0)</f>
        <v>3.4090909090909092</v>
      </c>
    </row>
    <row r="29" spans="1:4" ht="24" customHeight="1">
      <c r="A29" t="s">
        <v>47</v>
      </c>
      <c r="B29" s="14">
        <f>IFERROR(B15*B25/B12,0)</f>
        <v>7.0512820512820502</v>
      </c>
      <c r="C29" s="14">
        <f>IFERROR(C15*C25/C12,0)</f>
        <v>5.1204819277108449</v>
      </c>
      <c r="D29" s="14">
        <f>IFERROR(D15*D25/D12,0)</f>
        <v>3.4090909090909092</v>
      </c>
    </row>
    <row r="30" spans="1:4" ht="24" customHeight="1">
      <c r="A30" t="s">
        <v>48</v>
      </c>
      <c r="B30" s="14">
        <f>SUM(B20,B27:B29)</f>
        <v>116.40039447731755</v>
      </c>
      <c r="C30" s="14">
        <f>SUM(C20,C27:C29)</f>
        <v>170.56894243641233</v>
      </c>
      <c r="D30" s="14">
        <f>SUM(D20,D27:D29)</f>
        <v>240.09324009324007</v>
      </c>
    </row>
    <row r="31" spans="1:4" ht="24" customHeight="1">
      <c r="A31" t="s">
        <v>49</v>
      </c>
      <c r="B31" s="14">
        <f>B6-B30</f>
        <v>82.599605522682452</v>
      </c>
      <c r="C31" s="14">
        <f>C6-C30</f>
        <v>178.43105756358767</v>
      </c>
      <c r="D31" s="14">
        <f>D6-D30</f>
        <v>358.90675990675993</v>
      </c>
    </row>
    <row r="32" spans="1:4" ht="24" customHeight="1">
      <c r="A32" t="s">
        <v>50</v>
      </c>
      <c r="B32" s="11">
        <f>IFERROR(B31/B6,0)</f>
        <v>0.41507339458634396</v>
      </c>
      <c r="C32" s="11">
        <f>IFERROR(C31/C6,0)</f>
        <v>0.51126377525383282</v>
      </c>
      <c r="D32" s="11">
        <f>IFERROR(D31/D6,0)</f>
        <v>0.59917656077923198</v>
      </c>
    </row>
    <row r="33" spans="1:4" ht="24" customHeight="1">
      <c r="A33" t="s">
        <v>51</v>
      </c>
      <c r="B33" s="7">
        <f>B24*B17</f>
        <v>334.62000000000006</v>
      </c>
      <c r="C33" s="7">
        <f>C24*C17</f>
        <v>394.416</v>
      </c>
      <c r="D33" s="7">
        <f>D24*D17</f>
        <v>453.024</v>
      </c>
    </row>
    <row r="34" spans="1:4" ht="24" customHeight="1">
      <c r="A34" t="s">
        <v>52</v>
      </c>
      <c r="B34" s="14">
        <f>IFERROR(B13/B33,0)</f>
        <v>5.97692905385213</v>
      </c>
      <c r="C34" s="14">
        <f>IFERROR(C13/C33,0)</f>
        <v>7.6061823049774855</v>
      </c>
      <c r="D34" s="14">
        <f>IFERROR(D13/D33,0)</f>
        <v>11.036942855124673</v>
      </c>
    </row>
    <row r="35" spans="1:4" ht="24" customHeight="1">
      <c r="A35" s="8" t="s">
        <v>53</v>
      </c>
      <c r="B35" s="15">
        <f>B31-B34</f>
        <v>76.622676468830321</v>
      </c>
      <c r="C35" s="15">
        <f>C31-C34</f>
        <v>170.82487525861018</v>
      </c>
      <c r="D35" s="15">
        <f>D31-D34</f>
        <v>347.86981705163527</v>
      </c>
    </row>
    <row r="36" spans="1:4" ht="24" customHeight="1">
      <c r="A36" s="8" t="s">
        <v>54</v>
      </c>
      <c r="B36" s="12">
        <f>IFERROR(B35/B6,0)</f>
        <v>0.38503857522025287</v>
      </c>
      <c r="C36" s="12">
        <f>IFERROR(C35/C6,0)</f>
        <v>0.48946955661492886</v>
      </c>
      <c r="D36" s="12">
        <f>IFERROR(D35/D6,0)</f>
        <v>0.58075094666383187</v>
      </c>
    </row>
    <row r="37" spans="1:4" ht="24" customHeight="1">
      <c r="A37" s="9" t="s">
        <v>55</v>
      </c>
      <c r="B37" s="9">
        <f>IF(B31&lt;=0,"N/A",ROUNDUP(B13/B31,0))</f>
        <v>25</v>
      </c>
      <c r="C37" s="9">
        <f>IF(C31&lt;=0,"N/A",ROUNDUP(C13/C31,0))</f>
        <v>17</v>
      </c>
      <c r="D37" s="9">
        <f>IF(D31&lt;=0,"N/A",ROUNDUP(D13/D31,0))</f>
        <v>14</v>
      </c>
    </row>
    <row r="38" spans="1:4" ht="24" customHeight="1">
      <c r="A38" s="9" t="s">
        <v>56</v>
      </c>
      <c r="B38" s="16">
        <f>IF(B31&lt;=0,"N/A",B37*B6)</f>
        <v>4975</v>
      </c>
      <c r="C38" s="16">
        <f>IF(C31&lt;=0,"N/A",C37*C6)</f>
        <v>5933</v>
      </c>
      <c r="D38" s="16">
        <f>IF(D31&lt;=0,"N/A",D37*D6)</f>
        <v>8386</v>
      </c>
    </row>
    <row r="39" spans="1:4" ht="24" customHeight="1">
      <c r="A39" s="9" t="s">
        <v>57</v>
      </c>
      <c r="B39" s="16">
        <f>B33*B31-B13</f>
        <v>25639.480000000007</v>
      </c>
      <c r="C39" s="16">
        <f>C33*C31-C13</f>
        <v>67376.063999999998</v>
      </c>
      <c r="D39" s="16">
        <f>D33*D31-D13</f>
        <v>157593.37600000002</v>
      </c>
    </row>
    <row r="40" spans="1:4" ht="24" customHeight="1">
      <c r="A40" t="s">
        <v>58</v>
      </c>
      <c r="B40" s="14">
        <f>IF(B31&lt;=0,"N/A",B37*B31-B13)</f>
        <v>64.990138067061253</v>
      </c>
      <c r="C40" s="14">
        <f>IF(C31&lt;=0,"N/A",C37*C31-C13)</f>
        <v>33.327978580990475</v>
      </c>
      <c r="D40" s="14">
        <f>IF(D31&lt;=0,"N/A",D37*D31-D13)</f>
        <v>24.694638694639252</v>
      </c>
    </row>
    <row r="41" spans="1:4" ht="24" customHeight="1"/>
    <row r="42" spans="1:4" ht="24" customHeight="1">
      <c r="A42" s="4" t="s">
        <v>59</v>
      </c>
      <c r="B42" s="4"/>
      <c r="C42" s="4"/>
      <c r="D42" s="4"/>
    </row>
    <row r="43" spans="1:4" ht="27" customHeight="1">
      <c r="A43" s="17" t="s">
        <v>60</v>
      </c>
      <c r="B43" s="1" t="str">
        <f>INDEX(B5:D5,1,MATCH(MAX(B35:D35),B35:D35,0))</f>
        <v>PRODUCT C</v>
      </c>
    </row>
    <row r="44" spans="1:4" ht="27" customHeight="1">
      <c r="A44" s="17" t="s">
        <v>61</v>
      </c>
      <c r="B44" s="1" t="str">
        <f>INDEX(B5:D5,1,MATCH(MAX(B39:D39),B39:D39,0))</f>
        <v>PRODUCT C</v>
      </c>
    </row>
    <row r="45" spans="1:4" ht="27" customHeight="1">
      <c r="A45" s="17" t="s">
        <v>62</v>
      </c>
      <c r="B45" s="1" t="str">
        <f>INDEX(B5:D5,1,MATCH(MIN(B37:D37),B37:D37,0))</f>
        <v>PRODUCT C</v>
      </c>
    </row>
    <row r="47" spans="1:4" ht="42">
      <c r="A47" s="2" t="s">
        <v>63</v>
      </c>
      <c r="B47" s="2"/>
      <c r="C47" s="2"/>
      <c r="D47" s="2"/>
    </row>
    <row r="48" spans="1:4" ht="42">
      <c r="A48" s="2" t="s">
        <v>64</v>
      </c>
      <c r="B48" s="2"/>
      <c r="C48" s="2"/>
      <c r="D48" s="2"/>
    </row>
  </sheetData>
  <mergeCells count="2">
    <mergeCell ref="A1:D2"/>
    <mergeCell ref="A3: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2"/>
  <sheetViews>
    <sheetView workbookViewId="0">
      <pane ySplit="3" topLeftCell="A4" activePane="bottomLeft" state="frozen"/>
      <selection pane="bottomLeft" sqref="A1:E2"/>
    </sheetView>
  </sheetViews>
  <sheetFormatPr baseColWidth="10" defaultColWidth="8.6640625" defaultRowHeight="14"/>
  <cols>
    <col min="1" max="1" width="28" customWidth="1"/>
    <col min="2" max="2" width="43" customWidth="1"/>
    <col min="3" max="3" width="61" customWidth="1"/>
    <col min="4" max="4" width="21" customWidth="1"/>
    <col min="5" max="5" width="18" customWidth="1"/>
  </cols>
  <sheetData>
    <row r="1" spans="1:5" ht="27" customHeight="1">
      <c r="A1" s="37" t="s">
        <v>66</v>
      </c>
      <c r="B1" s="37"/>
      <c r="C1" s="37"/>
      <c r="D1" s="37"/>
      <c r="E1" s="37"/>
    </row>
    <row r="2" spans="1:5" ht="27" customHeight="1">
      <c r="A2" s="37"/>
      <c r="B2" s="37"/>
      <c r="C2" s="37"/>
      <c r="D2" s="37"/>
      <c r="E2" s="37"/>
    </row>
    <row r="3" spans="1:5" ht="26" customHeight="1">
      <c r="A3" s="38" t="s">
        <v>67</v>
      </c>
      <c r="B3" s="38"/>
      <c r="C3" s="38"/>
      <c r="D3" s="38"/>
      <c r="E3" s="38"/>
    </row>
    <row r="5" spans="1:5" ht="35" customHeight="1">
      <c r="A5" s="4" t="s">
        <v>68</v>
      </c>
      <c r="B5" s="4" t="s">
        <v>69</v>
      </c>
      <c r="C5" s="4" t="s">
        <v>70</v>
      </c>
      <c r="D5" s="4" t="s">
        <v>71</v>
      </c>
      <c r="E5" s="4" t="s">
        <v>72</v>
      </c>
    </row>
    <row r="6" spans="1:5" ht="35" customHeight="1">
      <c r="A6" s="2" t="s">
        <v>73</v>
      </c>
      <c r="B6" s="2" t="s">
        <v>74</v>
      </c>
      <c r="C6" s="2" t="s">
        <v>75</v>
      </c>
      <c r="D6" s="5">
        <f>SUM(SIMULATOR!B7:B9)</f>
        <v>70</v>
      </c>
      <c r="E6" s="2" t="s">
        <v>76</v>
      </c>
    </row>
    <row r="7" spans="1:5" ht="35" customHeight="1">
      <c r="A7" s="2" t="s">
        <v>77</v>
      </c>
      <c r="B7" s="2" t="s">
        <v>78</v>
      </c>
      <c r="C7" s="2" t="s">
        <v>79</v>
      </c>
      <c r="D7" s="5">
        <f>SIMULATOR!B21</f>
        <v>129</v>
      </c>
      <c r="E7" s="2" t="s">
        <v>80</v>
      </c>
    </row>
    <row r="8" spans="1:5" ht="35" customHeight="1">
      <c r="A8" s="2" t="s">
        <v>81</v>
      </c>
      <c r="B8" s="2" t="s">
        <v>82</v>
      </c>
      <c r="C8" s="2" t="s">
        <v>83</v>
      </c>
      <c r="D8" s="18">
        <f>SIMULATOR!B22</f>
        <v>0.64824120603015079</v>
      </c>
      <c r="E8" s="2" t="s">
        <v>80</v>
      </c>
    </row>
    <row r="9" spans="1:5" ht="35" customHeight="1">
      <c r="A9" s="2" t="s">
        <v>84</v>
      </c>
      <c r="B9" s="2" t="s">
        <v>85</v>
      </c>
      <c r="C9" s="2" t="s">
        <v>86</v>
      </c>
      <c r="D9" s="5">
        <f>SIMULATOR!B10</f>
        <v>18</v>
      </c>
      <c r="E9" s="2" t="s">
        <v>87</v>
      </c>
    </row>
    <row r="10" spans="1:5" ht="35" customHeight="1">
      <c r="A10" s="2" t="s">
        <v>88</v>
      </c>
      <c r="B10" s="2" t="s">
        <v>89</v>
      </c>
      <c r="C10" s="2" t="s">
        <v>90</v>
      </c>
      <c r="D10" s="5">
        <f>SIMULATOR!B23</f>
        <v>14.3</v>
      </c>
      <c r="E10" s="2" t="s">
        <v>91</v>
      </c>
    </row>
    <row r="11" spans="1:5" ht="35" customHeight="1">
      <c r="A11" s="2" t="s">
        <v>92</v>
      </c>
      <c r="B11" s="2" t="s">
        <v>93</v>
      </c>
      <c r="C11" s="2" t="s">
        <v>94</v>
      </c>
      <c r="D11" s="5">
        <f>SIMULATOR!B24</f>
        <v>11.154000000000002</v>
      </c>
      <c r="E11" s="2" t="s">
        <v>95</v>
      </c>
    </row>
    <row r="12" spans="1:5" ht="35" customHeight="1">
      <c r="A12" s="2" t="s">
        <v>96</v>
      </c>
      <c r="B12" s="2" t="s">
        <v>97</v>
      </c>
      <c r="C12" s="2" t="s">
        <v>98</v>
      </c>
      <c r="D12" s="18">
        <f>SIMULATOR!B25</f>
        <v>0.21999999999999997</v>
      </c>
      <c r="E12" s="2" t="s">
        <v>99</v>
      </c>
    </row>
    <row r="13" spans="1:5" ht="35" customHeight="1">
      <c r="A13" s="2" t="s">
        <v>100</v>
      </c>
      <c r="B13" s="2" t="s">
        <v>101</v>
      </c>
      <c r="C13" s="2" t="s">
        <v>102</v>
      </c>
      <c r="D13" s="5">
        <f>SIMULATOR!B27</f>
        <v>35.502958579881657</v>
      </c>
      <c r="E13" s="2" t="s">
        <v>103</v>
      </c>
    </row>
    <row r="14" spans="1:5" ht="35" customHeight="1">
      <c r="A14" s="2" t="s">
        <v>104</v>
      </c>
      <c r="B14" s="2" t="s">
        <v>105</v>
      </c>
      <c r="C14" s="2" t="s">
        <v>106</v>
      </c>
      <c r="D14" s="5">
        <f>SIMULATOR!B28</f>
        <v>3.8461538461538458</v>
      </c>
      <c r="E14" s="2" t="s">
        <v>107</v>
      </c>
    </row>
    <row r="15" spans="1:5" ht="35" customHeight="1">
      <c r="A15" s="2" t="s">
        <v>108</v>
      </c>
      <c r="B15" s="2" t="s">
        <v>109</v>
      </c>
      <c r="C15" s="2" t="s">
        <v>110</v>
      </c>
      <c r="D15" s="5">
        <f>SIMULATOR!B29</f>
        <v>7.0512820512820502</v>
      </c>
      <c r="E15" s="2" t="s">
        <v>111</v>
      </c>
    </row>
    <row r="16" spans="1:5" ht="35" customHeight="1">
      <c r="A16" s="2" t="s">
        <v>112</v>
      </c>
      <c r="B16" s="2" t="s">
        <v>113</v>
      </c>
      <c r="C16" s="2" t="s">
        <v>114</v>
      </c>
      <c r="D16" s="5">
        <f>SIMULATOR!B31</f>
        <v>82.599605522682452</v>
      </c>
      <c r="E16" s="2" t="s">
        <v>115</v>
      </c>
    </row>
    <row r="17" spans="1:5" ht="35" customHeight="1">
      <c r="A17" s="2" t="s">
        <v>116</v>
      </c>
      <c r="B17" s="2" t="s">
        <v>117</v>
      </c>
      <c r="C17" s="2" t="s">
        <v>118</v>
      </c>
      <c r="D17" s="5">
        <f>SIMULATOR!B34</f>
        <v>5.97692905385213</v>
      </c>
      <c r="E17" s="2" t="s">
        <v>119</v>
      </c>
    </row>
    <row r="18" spans="1:5" ht="35" customHeight="1">
      <c r="A18" s="2" t="s">
        <v>120</v>
      </c>
      <c r="B18" s="2" t="s">
        <v>121</v>
      </c>
      <c r="C18" s="2" t="s">
        <v>122</v>
      </c>
      <c r="D18" s="5">
        <f>SIMULATOR!B35</f>
        <v>76.622676468830321</v>
      </c>
      <c r="E18" s="2" t="s">
        <v>107</v>
      </c>
    </row>
    <row r="19" spans="1:5" ht="35" customHeight="1">
      <c r="A19" s="2" t="s">
        <v>123</v>
      </c>
      <c r="B19" s="2" t="s">
        <v>124</v>
      </c>
      <c r="C19" s="2" t="s">
        <v>125</v>
      </c>
      <c r="D19" s="18">
        <f>SIMULATOR!B36</f>
        <v>0.38503857522025287</v>
      </c>
      <c r="E19" s="2" t="s">
        <v>126</v>
      </c>
    </row>
    <row r="20" spans="1:5" ht="35" customHeight="1">
      <c r="A20" s="2" t="s">
        <v>127</v>
      </c>
      <c r="B20" s="2" t="s">
        <v>128</v>
      </c>
      <c r="C20" s="2" t="s">
        <v>129</v>
      </c>
      <c r="D20" s="18">
        <f>SIMULATOR!B37</f>
        <v>25</v>
      </c>
      <c r="E20" s="2" t="s">
        <v>115</v>
      </c>
    </row>
    <row r="21" spans="1:5" ht="35" customHeight="1">
      <c r="A21" s="2" t="s">
        <v>130</v>
      </c>
      <c r="B21" s="2" t="s">
        <v>131</v>
      </c>
      <c r="C21" s="2" t="s">
        <v>132</v>
      </c>
      <c r="D21" s="18">
        <f>SIMULATOR!B38</f>
        <v>4975</v>
      </c>
      <c r="E21" s="2" t="s">
        <v>115</v>
      </c>
    </row>
    <row r="22" spans="1:5" ht="35" customHeight="1">
      <c r="A22" s="2" t="s">
        <v>133</v>
      </c>
      <c r="B22" s="2" t="s">
        <v>134</v>
      </c>
      <c r="C22" s="2" t="s">
        <v>135</v>
      </c>
      <c r="D22" s="5">
        <f>SIMULATOR!B39</f>
        <v>25639.480000000007</v>
      </c>
      <c r="E22" s="2" t="s">
        <v>136</v>
      </c>
    </row>
  </sheetData>
  <mergeCells count="2">
    <mergeCell ref="A1:E2"/>
    <mergeCell ref="A3:E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8"/>
  <sheetViews>
    <sheetView workbookViewId="0">
      <pane ySplit="3" topLeftCell="A4" activePane="bottomLeft" state="frozen"/>
      <selection pane="bottomLeft" activeCell="B8" sqref="B8"/>
    </sheetView>
  </sheetViews>
  <sheetFormatPr baseColWidth="10" defaultColWidth="8.6640625" defaultRowHeight="14"/>
  <cols>
    <col min="1" max="1" width="26" customWidth="1"/>
    <col min="2" max="9" width="18" customWidth="1"/>
  </cols>
  <sheetData>
    <row r="1" spans="1:9" ht="27" customHeight="1">
      <c r="A1" s="37" t="s">
        <v>137</v>
      </c>
      <c r="B1" s="37"/>
      <c r="C1" s="37"/>
      <c r="D1" s="37"/>
      <c r="E1" s="37"/>
      <c r="F1" s="37"/>
      <c r="G1" s="37"/>
      <c r="H1" s="37"/>
      <c r="I1" s="37"/>
    </row>
    <row r="2" spans="1:9" ht="27" customHeight="1">
      <c r="A2" s="37"/>
      <c r="B2" s="37"/>
      <c r="C2" s="37"/>
      <c r="D2" s="37"/>
      <c r="E2" s="37"/>
      <c r="F2" s="37"/>
      <c r="G2" s="37"/>
      <c r="H2" s="37"/>
      <c r="I2" s="37"/>
    </row>
    <row r="3" spans="1:9" ht="26" customHeight="1">
      <c r="A3" s="38" t="s">
        <v>138</v>
      </c>
      <c r="B3" s="38"/>
      <c r="C3" s="38"/>
      <c r="D3" s="38"/>
      <c r="E3" s="38"/>
      <c r="F3" s="38"/>
      <c r="G3" s="38"/>
      <c r="H3" s="38"/>
      <c r="I3" s="38"/>
    </row>
    <row r="5" spans="1:9" ht="28" customHeight="1">
      <c r="A5" s="4" t="s">
        <v>139</v>
      </c>
      <c r="B5" s="4" t="s">
        <v>140</v>
      </c>
      <c r="C5" s="4" t="s">
        <v>84</v>
      </c>
      <c r="D5" s="4" t="s">
        <v>141</v>
      </c>
      <c r="E5" s="4" t="s">
        <v>142</v>
      </c>
      <c r="F5" s="4" t="s">
        <v>143</v>
      </c>
      <c r="G5" s="4" t="s">
        <v>112</v>
      </c>
      <c r="H5" s="4" t="s">
        <v>144</v>
      </c>
      <c r="I5" s="4" t="s">
        <v>145</v>
      </c>
    </row>
    <row r="6" spans="1:9" ht="28" customHeight="1">
      <c r="A6" s="6" t="s">
        <v>146</v>
      </c>
      <c r="B6" s="21">
        <f>SIMULATOR!B6</f>
        <v>199</v>
      </c>
      <c r="C6" s="21">
        <f>SIMULATOR!B10</f>
        <v>18</v>
      </c>
      <c r="D6" s="10">
        <f>SIMULATOR!B11</f>
        <v>0.65</v>
      </c>
      <c r="E6" s="10">
        <f>SIMULATOR!B12</f>
        <v>0.78</v>
      </c>
      <c r="F6" s="21">
        <f>SIMULATOR!B20+IFERROR(C6/(D6*E6),0)+IFERROR(SIMULATOR!B14/E6,0)+IFERROR(SIMULATOR!B15*(1-E6)/E6,0)</f>
        <v>116.40039447731755</v>
      </c>
      <c r="G6" s="21">
        <f t="shared" ref="G6:G14" si="0">B6-F6</f>
        <v>82.599605522682452</v>
      </c>
      <c r="H6" s="21">
        <f>G6-IFERROR(SIMULATOR!B13/(SIMULATOR!B16*D6*E6*SIMULATOR!B17),0)</f>
        <v>76.622676468830321</v>
      </c>
      <c r="I6" s="21">
        <f>G6*SIMULATOR!B16*D6*E6*SIMULATOR!B17-SIMULATOR!B13</f>
        <v>25639.480000000003</v>
      </c>
    </row>
    <row r="7" spans="1:9" ht="28" customHeight="1">
      <c r="A7" t="s">
        <v>147</v>
      </c>
      <c r="B7" s="19">
        <f>SIMULATOR!B6</f>
        <v>199</v>
      </c>
      <c r="C7" s="19">
        <f>SIMULATOR!B10-5</f>
        <v>13</v>
      </c>
      <c r="D7" s="20">
        <f>SIMULATOR!B11</f>
        <v>0.65</v>
      </c>
      <c r="E7" s="20">
        <f>SIMULATOR!B12</f>
        <v>0.78</v>
      </c>
      <c r="F7" s="19">
        <f>SIMULATOR!B20+IFERROR(C7/(D7*E7),0)+IFERROR(SIMULATOR!B14/E7,0)+IFERROR(SIMULATOR!B15*(1-E7)/E7,0)</f>
        <v>106.53846153846152</v>
      </c>
      <c r="G7" s="19">
        <f t="shared" si="0"/>
        <v>92.461538461538481</v>
      </c>
      <c r="H7" s="19">
        <f>G7-IFERROR(SIMULATOR!B13/(SIMULATOR!B16*D7*E7*SIMULATOR!B17),0)</f>
        <v>86.484609407686349</v>
      </c>
      <c r="I7" s="19">
        <f>G7*SIMULATOR!B16*D7*E7*SIMULATOR!B17-SIMULATOR!B13</f>
        <v>28939.480000000007</v>
      </c>
    </row>
    <row r="8" spans="1:9" ht="28" customHeight="1">
      <c r="A8" t="s">
        <v>148</v>
      </c>
      <c r="B8" s="19">
        <f>SIMULATOR!B6</f>
        <v>199</v>
      </c>
      <c r="C8" s="19">
        <f>SIMULATOR!B10+5</f>
        <v>23</v>
      </c>
      <c r="D8" s="20">
        <f>SIMULATOR!B11</f>
        <v>0.65</v>
      </c>
      <c r="E8" s="20">
        <f>SIMULATOR!B12</f>
        <v>0.78</v>
      </c>
      <c r="F8" s="19">
        <f>SIMULATOR!B20+IFERROR(C8/(D8*E8),0)+IFERROR(SIMULATOR!B14/E8,0)+IFERROR(SIMULATOR!B15*(1-E8)/E8,0)</f>
        <v>126.26232741617355</v>
      </c>
      <c r="G8" s="19">
        <f t="shared" si="0"/>
        <v>72.737672583826452</v>
      </c>
      <c r="H8" s="19">
        <f>G8-IFERROR(SIMULATOR!B13/(SIMULATOR!B16*D8*E8*SIMULATOR!B17),0)</f>
        <v>66.76074352997432</v>
      </c>
      <c r="I8" s="19">
        <f>G8*SIMULATOR!B16*D8*E8*SIMULATOR!B17-SIMULATOR!B13</f>
        <v>22339.480000000007</v>
      </c>
    </row>
    <row r="9" spans="1:9" ht="28" customHeight="1">
      <c r="A9" t="s">
        <v>149</v>
      </c>
      <c r="B9" s="19">
        <f>SIMULATOR!B6</f>
        <v>199</v>
      </c>
      <c r="C9" s="19">
        <f>SIMULATOR!B10</f>
        <v>18</v>
      </c>
      <c r="D9" s="20">
        <f>SIMULATOR!B11+0.08</f>
        <v>0.73</v>
      </c>
      <c r="E9" s="20">
        <f>SIMULATOR!B12</f>
        <v>0.78</v>
      </c>
      <c r="F9" s="19">
        <f>SIMULATOR!B20+IFERROR(C9/(D9*E9),0)+IFERROR(SIMULATOR!B14/E9,0)+IFERROR(SIMULATOR!B15*(1-E9)/E9,0)</f>
        <v>112.5096592904812</v>
      </c>
      <c r="G9" s="19">
        <f t="shared" si="0"/>
        <v>86.490340709518804</v>
      </c>
      <c r="H9" s="19">
        <f>G9-IFERROR(SIMULATOR!B13/(SIMULATOR!B16*D9*E9*SIMULATOR!B17),0)</f>
        <v>81.168417579376495</v>
      </c>
      <c r="I9" s="19">
        <f>G9*SIMULATOR!B16*D9*E9*SIMULATOR!B17-SIMULATOR!B13</f>
        <v>30503.416000000008</v>
      </c>
    </row>
    <row r="10" spans="1:9" ht="28" customHeight="1">
      <c r="A10" t="s">
        <v>150</v>
      </c>
      <c r="B10" s="19">
        <f>SIMULATOR!B6</f>
        <v>199</v>
      </c>
      <c r="C10" s="19">
        <f>SIMULATOR!B10</f>
        <v>18</v>
      </c>
      <c r="D10" s="20">
        <f>SIMULATOR!B11-0.08</f>
        <v>0.57000000000000006</v>
      </c>
      <c r="E10" s="20">
        <f>SIMULATOR!B12</f>
        <v>0.78</v>
      </c>
      <c r="F10" s="19">
        <f>SIMULATOR!B20+IFERROR(C10/(D10*E10),0)+IFERROR(SIMULATOR!B14/E10,0)+IFERROR(SIMULATOR!B15*(1-E10)/E10,0)</f>
        <v>121.38326585695005</v>
      </c>
      <c r="G10" s="19">
        <f t="shared" si="0"/>
        <v>77.616734143049953</v>
      </c>
      <c r="H10" s="19">
        <f>G10-IFERROR(SIMULATOR!B13/(SIMULATOR!B16*D10*E10*SIMULATOR!B17),0)</f>
        <v>70.800937853569451</v>
      </c>
      <c r="I10" s="19">
        <f>G10*SIMULATOR!B16*D10*E10*SIMULATOR!B17-SIMULATOR!B13</f>
        <v>20775.544000000009</v>
      </c>
    </row>
    <row r="11" spans="1:9" ht="28" customHeight="1">
      <c r="A11" t="s">
        <v>151</v>
      </c>
      <c r="B11" s="19">
        <f>SIMULATOR!B6</f>
        <v>199</v>
      </c>
      <c r="C11" s="19">
        <f>SIMULATOR!B10</f>
        <v>18</v>
      </c>
      <c r="D11" s="20">
        <f>SIMULATOR!B11</f>
        <v>0.65</v>
      </c>
      <c r="E11" s="20">
        <f>SIMULATOR!B12+0.08</f>
        <v>0.86</v>
      </c>
      <c r="F11" s="19">
        <f>SIMULATOR!B20+IFERROR(C11/(D11*E11),0)+IFERROR(SIMULATOR!B14/E11,0)+IFERROR(SIMULATOR!B15*(1-E11)/E11,0)</f>
        <v>109.75849731663685</v>
      </c>
      <c r="G11" s="19">
        <f t="shared" si="0"/>
        <v>89.241502683363152</v>
      </c>
      <c r="H11" s="19">
        <f>G11-IFERROR(SIMULATOR!B13/(SIMULATOR!B16*D11*E11*SIMULATOR!B17),0)</f>
        <v>83.820567029869352</v>
      </c>
      <c r="I11" s="19">
        <f>G11*SIMULATOR!B16*D11*E11*SIMULATOR!B17-SIMULATOR!B13</f>
        <v>30924.760000000002</v>
      </c>
    </row>
    <row r="12" spans="1:9" ht="28" customHeight="1">
      <c r="A12" t="s">
        <v>152</v>
      </c>
      <c r="B12" s="19">
        <f>SIMULATOR!B6</f>
        <v>199</v>
      </c>
      <c r="C12" s="19">
        <f>SIMULATOR!B10</f>
        <v>18</v>
      </c>
      <c r="D12" s="20">
        <f>SIMULATOR!B11</f>
        <v>0.65</v>
      </c>
      <c r="E12" s="20">
        <f>SIMULATOR!B12-0.08</f>
        <v>0.70000000000000007</v>
      </c>
      <c r="F12" s="19">
        <f>SIMULATOR!B20+IFERROR(C12/(D12*E12),0)+IFERROR(SIMULATOR!B14/E12,0)+IFERROR(SIMULATOR!B15*(1-E12)/E12,0)</f>
        <v>124.56043956043956</v>
      </c>
      <c r="G12" s="19">
        <f t="shared" si="0"/>
        <v>74.439560439560438</v>
      </c>
      <c r="H12" s="19">
        <f>G12-IFERROR(SIMULATOR!B13/(SIMULATOR!B16*D12*E12*SIMULATOR!B17),0)</f>
        <v>67.77955377955378</v>
      </c>
      <c r="I12" s="19">
        <f>G12*SIMULATOR!B16*D12*E12*SIMULATOR!B17-SIMULATOR!B13</f>
        <v>20354.200000000004</v>
      </c>
    </row>
    <row r="13" spans="1:9" ht="28" customHeight="1">
      <c r="A13" t="s">
        <v>153</v>
      </c>
      <c r="B13" s="19">
        <f>SIMULATOR!B6+50</f>
        <v>249</v>
      </c>
      <c r="C13" s="19">
        <f>SIMULATOR!B10</f>
        <v>18</v>
      </c>
      <c r="D13" s="20">
        <f>SIMULATOR!B11</f>
        <v>0.65</v>
      </c>
      <c r="E13" s="20">
        <f>SIMULATOR!B12</f>
        <v>0.78</v>
      </c>
      <c r="F13" s="19">
        <f>SIMULATOR!B20+IFERROR(C13/(D13*E13),0)+IFERROR(SIMULATOR!B14/E13,0)+IFERROR(SIMULATOR!B15*(1-E13)/E13,0)</f>
        <v>116.40039447731755</v>
      </c>
      <c r="G13" s="19">
        <f t="shared" si="0"/>
        <v>132.59960552268245</v>
      </c>
      <c r="H13" s="19">
        <f>G13-IFERROR(SIMULATOR!B13/(SIMULATOR!B16*D13*E13*SIMULATOR!B17),0)</f>
        <v>126.62267646883032</v>
      </c>
      <c r="I13" s="19">
        <f>G13*SIMULATOR!B16*D13*E13*SIMULATOR!B17-SIMULATOR!B13</f>
        <v>42370.48000000001</v>
      </c>
    </row>
    <row r="14" spans="1:9" ht="28" customHeight="1">
      <c r="A14" t="s">
        <v>154</v>
      </c>
      <c r="B14" s="19">
        <f>SIMULATOR!B6-50</f>
        <v>149</v>
      </c>
      <c r="C14" s="19">
        <f>SIMULATOR!B10</f>
        <v>18</v>
      </c>
      <c r="D14" s="20">
        <f>SIMULATOR!B11</f>
        <v>0.65</v>
      </c>
      <c r="E14" s="20">
        <f>SIMULATOR!B12</f>
        <v>0.78</v>
      </c>
      <c r="F14" s="19">
        <f>SIMULATOR!B20+IFERROR(C14/(D14*E14),0)+IFERROR(SIMULATOR!B14/E14,0)+IFERROR(SIMULATOR!B15*(1-E14)/E14,0)</f>
        <v>116.40039447731755</v>
      </c>
      <c r="G14" s="19">
        <f t="shared" si="0"/>
        <v>32.599605522682452</v>
      </c>
      <c r="H14" s="19">
        <f>G14-IFERROR(SIMULATOR!B13/(SIMULATOR!B16*D14*E14*SIMULATOR!B17),0)</f>
        <v>26.622676468830321</v>
      </c>
      <c r="I14" s="19">
        <f>G14*SIMULATOR!B16*D14*E14*SIMULATOR!B17-SIMULATOR!B13</f>
        <v>8908.4800000000032</v>
      </c>
    </row>
    <row r="17" spans="1:9" ht="42">
      <c r="A17" s="2" t="s">
        <v>155</v>
      </c>
      <c r="B17" s="2"/>
      <c r="C17" s="2"/>
      <c r="D17" s="2"/>
      <c r="E17" s="2"/>
      <c r="F17" s="2"/>
      <c r="G17" s="2"/>
      <c r="H17" s="2"/>
      <c r="I17" s="2"/>
    </row>
    <row r="18" spans="1:9" ht="56">
      <c r="A18" s="2" t="s">
        <v>156</v>
      </c>
      <c r="B18" s="2"/>
      <c r="C18" s="2"/>
      <c r="D18" s="2"/>
      <c r="E18" s="2"/>
      <c r="F18" s="2"/>
      <c r="G18" s="2"/>
      <c r="H18" s="2"/>
      <c r="I18" s="2"/>
    </row>
  </sheetData>
  <mergeCells count="2">
    <mergeCell ref="A1:I2"/>
    <mergeCell ref="A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workbookViewId="0">
      <pane ySplit="3" topLeftCell="A7" activePane="bottomLeft" state="frozen"/>
      <selection pane="bottomLeft" activeCell="C14" sqref="C14"/>
    </sheetView>
  </sheetViews>
  <sheetFormatPr baseColWidth="10" defaultColWidth="8.6640625" defaultRowHeight="14"/>
  <cols>
    <col min="1" max="1" width="40" customWidth="1"/>
    <col min="2" max="2" width="22" customWidth="1"/>
    <col min="3" max="3" width="26" customWidth="1"/>
    <col min="4" max="4" width="76" customWidth="1"/>
    <col min="5" max="6" width="16" customWidth="1"/>
  </cols>
  <sheetData>
    <row r="1" spans="1:6" ht="27" customHeight="1">
      <c r="A1" s="37" t="s">
        <v>157</v>
      </c>
      <c r="B1" s="37"/>
      <c r="C1" s="37"/>
      <c r="D1" s="37"/>
      <c r="E1" s="37"/>
      <c r="F1" s="37"/>
    </row>
    <row r="2" spans="1:6" ht="27" customHeight="1">
      <c r="A2" s="37"/>
      <c r="B2" s="37"/>
      <c r="C2" s="37"/>
      <c r="D2" s="37"/>
      <c r="E2" s="37"/>
      <c r="F2" s="37"/>
    </row>
    <row r="3" spans="1:6" ht="26" customHeight="1">
      <c r="A3" s="38" t="s">
        <v>158</v>
      </c>
      <c r="B3" s="38"/>
      <c r="C3" s="38"/>
      <c r="D3" s="38"/>
      <c r="E3" s="38"/>
      <c r="F3" s="38"/>
    </row>
    <row r="5" spans="1:6" ht="28" customHeight="1">
      <c r="A5" s="4" t="s">
        <v>159</v>
      </c>
      <c r="B5" s="4" t="s">
        <v>160</v>
      </c>
      <c r="C5" s="4" t="s">
        <v>161</v>
      </c>
      <c r="D5" s="4" t="s">
        <v>162</v>
      </c>
    </row>
    <row r="6" spans="1:6">
      <c r="A6" s="2" t="s">
        <v>163</v>
      </c>
      <c r="B6" s="5">
        <v>3</v>
      </c>
      <c r="C6" s="2" t="s">
        <v>164</v>
      </c>
      <c r="D6" s="2" t="s">
        <v>165</v>
      </c>
    </row>
    <row r="7" spans="1:6">
      <c r="A7" s="2" t="s">
        <v>166</v>
      </c>
      <c r="B7" s="5">
        <v>25</v>
      </c>
      <c r="C7" s="2" t="s">
        <v>99</v>
      </c>
      <c r="D7" s="2" t="s">
        <v>167</v>
      </c>
    </row>
    <row r="8" spans="1:6">
      <c r="A8" s="2" t="s">
        <v>168</v>
      </c>
      <c r="B8" s="5">
        <v>30</v>
      </c>
      <c r="C8" s="2" t="s">
        <v>119</v>
      </c>
      <c r="D8" s="2" t="s">
        <v>169</v>
      </c>
    </row>
    <row r="9" spans="1:6">
      <c r="A9" s="2" t="s">
        <v>170</v>
      </c>
      <c r="B9" s="5">
        <v>22</v>
      </c>
      <c r="C9" s="2" t="s">
        <v>87</v>
      </c>
      <c r="D9" s="2" t="s">
        <v>171</v>
      </c>
    </row>
    <row r="10" spans="1:6">
      <c r="A10" s="2" t="s">
        <v>172</v>
      </c>
      <c r="B10" s="5" t="s">
        <v>173</v>
      </c>
      <c r="C10" s="2" t="s">
        <v>76</v>
      </c>
      <c r="D10" s="2" t="s">
        <v>174</v>
      </c>
    </row>
    <row r="11" spans="1:6" ht="28">
      <c r="A11" s="2" t="s">
        <v>175</v>
      </c>
      <c r="B11" s="2" t="s">
        <v>176</v>
      </c>
      <c r="C11" s="2" t="s">
        <v>177</v>
      </c>
      <c r="D11" s="2" t="s">
        <v>178</v>
      </c>
    </row>
    <row r="12" spans="1:6">
      <c r="A12" s="2" t="s">
        <v>179</v>
      </c>
      <c r="B12" s="2" t="s">
        <v>180</v>
      </c>
      <c r="C12" s="2" t="s">
        <v>181</v>
      </c>
      <c r="D12" s="2" t="s">
        <v>182</v>
      </c>
    </row>
    <row r="13" spans="1:6">
      <c r="A13" s="2" t="s">
        <v>112</v>
      </c>
      <c r="B13" s="2" t="s">
        <v>183</v>
      </c>
      <c r="C13" s="2" t="s">
        <v>115</v>
      </c>
      <c r="D13" s="2" t="s">
        <v>184</v>
      </c>
    </row>
    <row r="14" spans="1:6">
      <c r="A14" s="2" t="s">
        <v>185</v>
      </c>
      <c r="B14" s="2" t="s">
        <v>186</v>
      </c>
      <c r="C14" s="2" t="s">
        <v>187</v>
      </c>
      <c r="D14" s="2" t="s">
        <v>188</v>
      </c>
    </row>
    <row r="15" spans="1:6">
      <c r="A15" s="2" t="s">
        <v>127</v>
      </c>
      <c r="B15" s="2" t="s">
        <v>189</v>
      </c>
      <c r="C15" s="2" t="s">
        <v>115</v>
      </c>
      <c r="D15" s="2" t="s">
        <v>190</v>
      </c>
    </row>
    <row r="16" spans="1:6">
      <c r="A16" s="2" t="s">
        <v>191</v>
      </c>
      <c r="B16" s="2" t="s">
        <v>192</v>
      </c>
      <c r="C16" s="2" t="s">
        <v>193</v>
      </c>
      <c r="D16" s="2" t="s">
        <v>194</v>
      </c>
    </row>
  </sheetData>
  <mergeCells count="2">
    <mergeCell ref="A1:F2"/>
    <mergeCell ref="A3:F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workbookViewId="0">
      <selection sqref="A1:H2"/>
    </sheetView>
  </sheetViews>
  <sheetFormatPr baseColWidth="10" defaultColWidth="8.6640625" defaultRowHeight="14"/>
  <cols>
    <col min="1" max="8" width="21" customWidth="1"/>
  </cols>
  <sheetData>
    <row r="1" spans="1:8" ht="13.4" customHeight="1">
      <c r="A1" s="39" t="s">
        <v>195</v>
      </c>
      <c r="B1" s="39"/>
      <c r="C1" s="39"/>
      <c r="D1" s="39"/>
      <c r="E1" s="39"/>
      <c r="F1" s="39"/>
      <c r="G1" s="39"/>
      <c r="H1" s="39"/>
    </row>
    <row r="2" spans="1:8" ht="13.4" customHeight="1">
      <c r="A2" s="39"/>
      <c r="B2" s="39"/>
      <c r="C2" s="39"/>
      <c r="D2" s="39"/>
      <c r="E2" s="39"/>
      <c r="F2" s="39"/>
      <c r="G2" s="39"/>
      <c r="H2" s="39"/>
    </row>
    <row r="3" spans="1:8">
      <c r="A3" s="40" t="s">
        <v>196</v>
      </c>
      <c r="B3" s="40"/>
      <c r="C3" s="40"/>
      <c r="D3" s="40"/>
      <c r="E3" s="40"/>
      <c r="F3" s="40"/>
      <c r="G3" s="40"/>
      <c r="H3" s="40"/>
    </row>
    <row r="5" spans="1:8" ht="13.4" customHeight="1">
      <c r="A5" s="23" t="str">
        <f>HYPERLINK("#'PRACTICE A'!A1","PRODUCT A")</f>
        <v>PRODUCT A</v>
      </c>
      <c r="C5" s="23" t="str">
        <f>HYPERLINK("#'PRACTICE B'!A1","PRODUCT B")</f>
        <v>PRODUCT B</v>
      </c>
      <c r="E5" s="23" t="str">
        <f>HYPERLINK("#'PRACTICE C'!A1","PRODUCT C")</f>
        <v>PRODUCT C</v>
      </c>
      <c r="G5" s="23" t="str">
        <f>HYPERLINK("#'COMPARE PRODUCTS'!A1","COMPARE")</f>
        <v>COMPARE</v>
      </c>
    </row>
    <row r="7" spans="1:8">
      <c r="A7" s="39" t="s">
        <v>197</v>
      </c>
      <c r="B7" s="39"/>
      <c r="C7" s="39"/>
      <c r="D7" s="39"/>
      <c r="E7" s="39" t="s">
        <v>198</v>
      </c>
      <c r="F7" s="39"/>
      <c r="G7" s="39"/>
      <c r="H7" s="39"/>
    </row>
    <row r="9" spans="1:8" ht="13.4" customHeight="1">
      <c r="A9" t="s">
        <v>199</v>
      </c>
      <c r="C9">
        <f>SIMULATOR!B6</f>
        <v>199</v>
      </c>
      <c r="E9" s="23" t="str">
        <f>HYPERLINK("#'EXERCISE A-B-C'!A1","EXERCISE A/B/C")</f>
        <v>EXERCISE A/B/C</v>
      </c>
      <c r="G9" s="23" t="str">
        <f>HYPERLINK("#'FORMULAS &amp; CONCEPTS'!A1","FORMULAS")</f>
        <v>FORMULAS</v>
      </c>
    </row>
    <row r="10" spans="1:8">
      <c r="A10" t="s">
        <v>84</v>
      </c>
      <c r="C10">
        <f>SIMULATOR!B10</f>
        <v>18</v>
      </c>
    </row>
    <row r="11" spans="1:8">
      <c r="A11" t="s">
        <v>200</v>
      </c>
      <c r="C11">
        <f>SIMULATOR!B13</f>
        <v>2000</v>
      </c>
      <c r="E11" t="s">
        <v>201</v>
      </c>
      <c r="H11" s="24">
        <f>SIMULATOR!B33</f>
        <v>334.62000000000006</v>
      </c>
    </row>
    <row r="12" spans="1:8">
      <c r="E12" t="s">
        <v>202</v>
      </c>
    </row>
    <row r="15" spans="1:8" ht="12.4" customHeight="1">
      <c r="A15" s="41" t="s">
        <v>203</v>
      </c>
      <c r="B15" s="41"/>
      <c r="C15" s="41"/>
      <c r="D15" s="41"/>
      <c r="E15" s="41" t="s">
        <v>204</v>
      </c>
      <c r="F15" s="41"/>
      <c r="G15" s="41"/>
      <c r="H15" s="41"/>
    </row>
    <row r="16" spans="1:8">
      <c r="A16" s="42" t="s">
        <v>205</v>
      </c>
      <c r="B16" s="42"/>
      <c r="C16" s="42"/>
      <c r="D16" s="42"/>
      <c r="E16" s="42" t="s">
        <v>206</v>
      </c>
      <c r="F16" s="42"/>
      <c r="G16" s="42"/>
      <c r="H16" s="42"/>
    </row>
    <row r="17" spans="1:8" ht="12.9" customHeight="1">
      <c r="A17" s="43" t="s">
        <v>207</v>
      </c>
      <c r="B17" s="43"/>
      <c r="C17" s="28">
        <f>SUM(SIMULATOR!B7:B9)</f>
        <v>70</v>
      </c>
      <c r="D17" s="27"/>
      <c r="E17" s="43" t="s">
        <v>207</v>
      </c>
      <c r="F17" s="43"/>
      <c r="G17" s="28">
        <f>SIMULATOR!B6-C17</f>
        <v>129</v>
      </c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20" spans="1:8" ht="12.4" customHeight="1">
      <c r="A20" s="41" t="s">
        <v>208</v>
      </c>
      <c r="B20" s="41"/>
      <c r="C20" s="41"/>
      <c r="D20" s="41"/>
      <c r="E20" s="41" t="s">
        <v>209</v>
      </c>
      <c r="F20" s="41"/>
      <c r="G20" s="41"/>
      <c r="H20" s="41"/>
    </row>
    <row r="21" spans="1:8">
      <c r="A21" s="42" t="s">
        <v>210</v>
      </c>
      <c r="B21" s="42"/>
      <c r="C21" s="42"/>
      <c r="D21" s="42"/>
      <c r="E21" s="42" t="s">
        <v>211</v>
      </c>
      <c r="F21" s="42"/>
      <c r="G21" s="42"/>
      <c r="H21" s="42"/>
    </row>
    <row r="22" spans="1:8" ht="12.9" customHeight="1">
      <c r="A22" s="43" t="s">
        <v>207</v>
      </c>
      <c r="B22" s="43"/>
      <c r="C22" s="29">
        <f>IFERROR(G17/SIMULATOR!B6,0)</f>
        <v>0.64824120603015079</v>
      </c>
      <c r="D22" s="27"/>
      <c r="E22" s="43" t="s">
        <v>207</v>
      </c>
      <c r="F22" s="43"/>
      <c r="G22" s="30">
        <f>SIMULATOR!B16</f>
        <v>22</v>
      </c>
      <c r="H22" s="27"/>
    </row>
    <row r="23" spans="1:8">
      <c r="A23" s="27"/>
      <c r="B23" s="27"/>
      <c r="C23" s="27"/>
      <c r="D23" s="27"/>
      <c r="E23" s="27"/>
      <c r="F23" s="27"/>
      <c r="G23" s="27"/>
      <c r="H23" s="27"/>
    </row>
    <row r="25" spans="1:8" ht="12.4" customHeight="1">
      <c r="A25" s="41" t="s">
        <v>212</v>
      </c>
      <c r="B25" s="41"/>
      <c r="C25" s="41"/>
      <c r="D25" s="41"/>
      <c r="E25" s="41" t="s">
        <v>213</v>
      </c>
      <c r="F25" s="41"/>
      <c r="G25" s="41"/>
      <c r="H25" s="41"/>
    </row>
    <row r="26" spans="1:8">
      <c r="A26" s="42" t="s">
        <v>214</v>
      </c>
      <c r="B26" s="42"/>
      <c r="C26" s="42"/>
      <c r="D26" s="42"/>
      <c r="E26" s="42" t="s">
        <v>215</v>
      </c>
      <c r="F26" s="42"/>
      <c r="G26" s="42"/>
      <c r="H26" s="42"/>
    </row>
    <row r="27" spans="1:8" ht="12.9" customHeight="1">
      <c r="A27" s="43" t="s">
        <v>207</v>
      </c>
      <c r="B27" s="43"/>
      <c r="C27" s="30">
        <f>G22*SIMULATOR!B11</f>
        <v>14.3</v>
      </c>
      <c r="D27" s="27"/>
      <c r="E27" s="43" t="s">
        <v>207</v>
      </c>
      <c r="F27" s="43"/>
      <c r="G27" s="30">
        <f>C27*SIMULATOR!B12</f>
        <v>11.154000000000002</v>
      </c>
      <c r="H27" s="27"/>
    </row>
    <row r="28" spans="1:8">
      <c r="A28" s="27"/>
      <c r="B28" s="27"/>
      <c r="C28" s="27"/>
      <c r="D28" s="27"/>
      <c r="E28" s="27"/>
      <c r="F28" s="27"/>
      <c r="G28" s="27"/>
      <c r="H28" s="27"/>
    </row>
    <row r="30" spans="1:8" ht="12.4" customHeight="1">
      <c r="A30" s="41" t="s">
        <v>216</v>
      </c>
      <c r="B30" s="41"/>
      <c r="C30" s="41"/>
      <c r="D30" s="41"/>
      <c r="E30" s="41" t="s">
        <v>217</v>
      </c>
      <c r="F30" s="41"/>
      <c r="G30" s="41"/>
      <c r="H30" s="41"/>
    </row>
    <row r="31" spans="1:8">
      <c r="A31" s="42" t="s">
        <v>218</v>
      </c>
      <c r="B31" s="42"/>
      <c r="C31" s="42"/>
      <c r="D31" s="42"/>
      <c r="E31" s="42" t="s">
        <v>219</v>
      </c>
      <c r="F31" s="42"/>
      <c r="G31" s="42"/>
      <c r="H31" s="42"/>
    </row>
    <row r="32" spans="1:8" ht="12.9" customHeight="1">
      <c r="A32" s="43" t="s">
        <v>207</v>
      </c>
      <c r="B32" s="43"/>
      <c r="C32" s="29">
        <f>1-SIMULATOR!B12</f>
        <v>0.21999999999999997</v>
      </c>
      <c r="D32" s="27"/>
      <c r="E32" s="43" t="s">
        <v>207</v>
      </c>
      <c r="F32" s="43"/>
      <c r="G32" s="28">
        <f>IFERROR(SIMULATOR!B10/(SIMULATOR!B11*SIMULATOR!B12),0)</f>
        <v>35.502958579881657</v>
      </c>
      <c r="H32" s="27"/>
    </row>
    <row r="33" spans="1:8">
      <c r="A33" s="27"/>
      <c r="B33" s="27"/>
      <c r="C33" s="27"/>
      <c r="D33" s="27"/>
      <c r="E33" s="27"/>
      <c r="F33" s="27"/>
      <c r="G33" s="27"/>
      <c r="H33" s="27"/>
    </row>
    <row r="35" spans="1:8" ht="12.4" customHeight="1">
      <c r="A35" s="41" t="s">
        <v>220</v>
      </c>
      <c r="B35" s="41"/>
      <c r="C35" s="41"/>
      <c r="D35" s="41"/>
      <c r="E35" s="41" t="s">
        <v>221</v>
      </c>
      <c r="F35" s="41"/>
      <c r="G35" s="41"/>
      <c r="H35" s="41"/>
    </row>
    <row r="36" spans="1:8">
      <c r="A36" s="42" t="s">
        <v>222</v>
      </c>
      <c r="B36" s="42"/>
      <c r="C36" s="42"/>
      <c r="D36" s="42"/>
      <c r="E36" s="42" t="s">
        <v>223</v>
      </c>
      <c r="F36" s="42"/>
      <c r="G36" s="42"/>
      <c r="H36" s="42"/>
    </row>
    <row r="37" spans="1:8" ht="12.9" customHeight="1">
      <c r="A37" s="43" t="s">
        <v>207</v>
      </c>
      <c r="B37" s="43"/>
      <c r="C37" s="28">
        <f>IFERROR(C27*SIMULATOR!B14/G27,0)</f>
        <v>3.8461538461538463</v>
      </c>
      <c r="D37" s="27"/>
      <c r="E37" s="43" t="s">
        <v>207</v>
      </c>
      <c r="F37" s="43"/>
      <c r="G37" s="28">
        <f>IFERROR((C27-G27)*SIMULATOR!B15/G27,0)</f>
        <v>7.0512820512820484</v>
      </c>
      <c r="H37" s="27"/>
    </row>
    <row r="38" spans="1:8">
      <c r="A38" s="27"/>
      <c r="B38" s="27"/>
      <c r="C38" s="27"/>
      <c r="D38" s="27"/>
      <c r="E38" s="27"/>
      <c r="F38" s="27"/>
      <c r="G38" s="27"/>
      <c r="H38" s="27"/>
    </row>
    <row r="40" spans="1:8" ht="12.4" customHeight="1">
      <c r="A40" s="41" t="s">
        <v>224</v>
      </c>
      <c r="B40" s="41"/>
      <c r="C40" s="41"/>
      <c r="D40" s="41"/>
      <c r="E40" s="41" t="s">
        <v>225</v>
      </c>
      <c r="F40" s="41"/>
      <c r="G40" s="41"/>
      <c r="H40" s="41"/>
    </row>
    <row r="41" spans="1:8">
      <c r="A41" s="42" t="s">
        <v>226</v>
      </c>
      <c r="B41" s="42"/>
      <c r="C41" s="42"/>
      <c r="D41" s="42"/>
      <c r="E41" s="42" t="s">
        <v>227</v>
      </c>
      <c r="F41" s="42"/>
      <c r="G41" s="42"/>
      <c r="H41" s="42"/>
    </row>
    <row r="42" spans="1:8" ht="12.9" customHeight="1">
      <c r="A42" s="43" t="s">
        <v>207</v>
      </c>
      <c r="B42" s="43"/>
      <c r="C42" s="28">
        <f>SUM(C17,G32,C37,G37)</f>
        <v>116.40039447731755</v>
      </c>
      <c r="D42" s="27"/>
      <c r="E42" s="43" t="s">
        <v>207</v>
      </c>
      <c r="F42" s="43"/>
      <c r="G42" s="28">
        <f>SIMULATOR!B6-C42</f>
        <v>82.599605522682452</v>
      </c>
      <c r="H42" s="27"/>
    </row>
    <row r="43" spans="1:8">
      <c r="A43" s="27"/>
      <c r="B43" s="27"/>
      <c r="C43" s="27"/>
      <c r="D43" s="27"/>
      <c r="E43" s="27"/>
      <c r="F43" s="27"/>
      <c r="G43" s="27"/>
      <c r="H43" s="27"/>
    </row>
    <row r="45" spans="1:8" ht="12.4" customHeight="1">
      <c r="A45" s="41" t="s">
        <v>228</v>
      </c>
      <c r="B45" s="41"/>
      <c r="C45" s="41"/>
      <c r="D45" s="41"/>
    </row>
    <row r="46" spans="1:8">
      <c r="A46" s="42" t="s">
        <v>229</v>
      </c>
      <c r="B46" s="42"/>
      <c r="C46" s="42"/>
      <c r="D46" s="42"/>
    </row>
    <row r="47" spans="1:8" ht="12.9" customHeight="1">
      <c r="A47" s="43" t="s">
        <v>207</v>
      </c>
      <c r="B47" s="43"/>
      <c r="C47" s="28">
        <f>G42-IFERROR(SIMULATOR!B13/(G27*SIMULATOR!B17),0)</f>
        <v>76.622676468830321</v>
      </c>
      <c r="D47" s="27"/>
    </row>
    <row r="48" spans="1:8">
      <c r="A48" s="27"/>
      <c r="B48" s="27"/>
      <c r="C48" s="27"/>
      <c r="D48" s="27"/>
    </row>
    <row r="51" spans="1:8">
      <c r="A51" s="39" t="s">
        <v>230</v>
      </c>
      <c r="B51" s="39"/>
      <c r="C51" s="39"/>
      <c r="D51" s="39"/>
      <c r="E51" s="39"/>
      <c r="F51" s="39"/>
      <c r="G51" s="39"/>
      <c r="H51" s="39"/>
    </row>
    <row r="55" spans="1:8" ht="12.4" customHeight="1">
      <c r="A55" s="41" t="s">
        <v>231</v>
      </c>
      <c r="B55" s="41"/>
      <c r="C55" s="41"/>
      <c r="D55" s="41"/>
      <c r="E55" s="41" t="s">
        <v>232</v>
      </c>
      <c r="F55" s="41"/>
      <c r="G55" s="41"/>
      <c r="H55" s="41"/>
    </row>
    <row r="56" spans="1:8">
      <c r="A56" s="42" t="s">
        <v>233</v>
      </c>
      <c r="B56" s="42"/>
      <c r="C56" s="42"/>
      <c r="D56" s="42"/>
      <c r="E56" s="42" t="s">
        <v>234</v>
      </c>
      <c r="F56" s="42"/>
      <c r="G56" s="42"/>
      <c r="H56" s="42"/>
    </row>
    <row r="57" spans="1:8">
      <c r="A57" s="43" t="s">
        <v>207</v>
      </c>
      <c r="B57" s="43"/>
      <c r="C57" s="30">
        <f>IF(G42&lt;=0,"N/A",ROUNDUP(SIMULATOR!B13/G42,0))</f>
        <v>25</v>
      </c>
      <c r="D57" s="27"/>
      <c r="E57" s="43" t="s">
        <v>207</v>
      </c>
      <c r="F57" s="43"/>
      <c r="G57" s="28">
        <f>G42*$H$11-SIMULATOR!B13</f>
        <v>25639.480000000007</v>
      </c>
      <c r="H57" s="27"/>
    </row>
    <row r="58" spans="1:8">
      <c r="A58" s="27"/>
      <c r="B58" s="27"/>
      <c r="C58" s="27"/>
      <c r="D58" s="27"/>
      <c r="E58" s="27"/>
      <c r="F58" s="27"/>
      <c r="G58" s="27"/>
      <c r="H58" s="27"/>
    </row>
  </sheetData>
  <mergeCells count="50">
    <mergeCell ref="E56:H56"/>
    <mergeCell ref="E57:F57"/>
    <mergeCell ref="A55:D55"/>
    <mergeCell ref="A56:D56"/>
    <mergeCell ref="A57:B57"/>
    <mergeCell ref="A45:D45"/>
    <mergeCell ref="A46:D46"/>
    <mergeCell ref="A47:B47"/>
    <mergeCell ref="A51:H51"/>
    <mergeCell ref="E55:H55"/>
    <mergeCell ref="A40:D40"/>
    <mergeCell ref="A41:D41"/>
    <mergeCell ref="A42:B42"/>
    <mergeCell ref="E40:H40"/>
    <mergeCell ref="E41:H41"/>
    <mergeCell ref="E42:F42"/>
    <mergeCell ref="A35:D35"/>
    <mergeCell ref="A36:D36"/>
    <mergeCell ref="A37:B37"/>
    <mergeCell ref="E35:H35"/>
    <mergeCell ref="E36:H36"/>
    <mergeCell ref="E37:F37"/>
    <mergeCell ref="A30:D30"/>
    <mergeCell ref="A31:D31"/>
    <mergeCell ref="A32:B32"/>
    <mergeCell ref="E30:H30"/>
    <mergeCell ref="E31:H31"/>
    <mergeCell ref="E32:F32"/>
    <mergeCell ref="A25:D25"/>
    <mergeCell ref="A26:D26"/>
    <mergeCell ref="A27:B27"/>
    <mergeCell ref="E25:H25"/>
    <mergeCell ref="E26:H26"/>
    <mergeCell ref="E27:F27"/>
    <mergeCell ref="A20:D20"/>
    <mergeCell ref="A21:D21"/>
    <mergeCell ref="A22:B22"/>
    <mergeCell ref="E20:H20"/>
    <mergeCell ref="E21:H21"/>
    <mergeCell ref="E22:F22"/>
    <mergeCell ref="A16:D16"/>
    <mergeCell ref="A17:B17"/>
    <mergeCell ref="E15:H15"/>
    <mergeCell ref="E16:H16"/>
    <mergeCell ref="E17:F17"/>
    <mergeCell ref="A1:H2"/>
    <mergeCell ref="A3:H3"/>
    <mergeCell ref="A7:D7"/>
    <mergeCell ref="E7:H7"/>
    <mergeCell ref="A15:D1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8"/>
  <sheetViews>
    <sheetView workbookViewId="0">
      <selection sqref="A1:H2"/>
    </sheetView>
  </sheetViews>
  <sheetFormatPr baseColWidth="10" defaultColWidth="8.6640625" defaultRowHeight="14"/>
  <cols>
    <col min="1" max="8" width="21" customWidth="1"/>
  </cols>
  <sheetData>
    <row r="1" spans="1:8" ht="13.4" customHeight="1">
      <c r="A1" s="39" t="s">
        <v>235</v>
      </c>
      <c r="B1" s="39"/>
      <c r="C1" s="39"/>
      <c r="D1" s="39"/>
      <c r="E1" s="39"/>
      <c r="F1" s="39"/>
      <c r="G1" s="39"/>
      <c r="H1" s="39"/>
    </row>
    <row r="2" spans="1:8" ht="13.4" customHeight="1">
      <c r="A2" s="39"/>
      <c r="B2" s="39"/>
      <c r="C2" s="39"/>
      <c r="D2" s="39"/>
      <c r="E2" s="39"/>
      <c r="F2" s="39"/>
      <c r="G2" s="39"/>
      <c r="H2" s="39"/>
    </row>
    <row r="3" spans="1:8">
      <c r="A3" s="40" t="s">
        <v>196</v>
      </c>
      <c r="B3" s="40"/>
      <c r="C3" s="40"/>
      <c r="D3" s="40"/>
      <c r="E3" s="40"/>
      <c r="F3" s="40"/>
      <c r="G3" s="40"/>
      <c r="H3" s="40"/>
    </row>
    <row r="5" spans="1:8" ht="13.4" customHeight="1">
      <c r="A5" s="23" t="str">
        <f>HYPERLINK("#'PRACTICE A'!A1","PRODUCT A")</f>
        <v>PRODUCT A</v>
      </c>
      <c r="C5" s="23" t="str">
        <f>HYPERLINK("#'PRACTICE B'!A1","PRODUCT B")</f>
        <v>PRODUCT B</v>
      </c>
      <c r="E5" s="23" t="str">
        <f>HYPERLINK("#'PRACTICE C'!A1","PRODUCT C")</f>
        <v>PRODUCT C</v>
      </c>
      <c r="G5" s="23" t="str">
        <f>HYPERLINK("#'COMPARE PRODUCTS'!A1","COMPARE")</f>
        <v>COMPARE</v>
      </c>
    </row>
    <row r="7" spans="1:8">
      <c r="A7" s="39" t="s">
        <v>197</v>
      </c>
      <c r="B7" s="39"/>
      <c r="C7" s="39"/>
      <c r="D7" s="39"/>
      <c r="E7" s="39" t="s">
        <v>198</v>
      </c>
      <c r="F7" s="39"/>
      <c r="G7" s="39"/>
      <c r="H7" s="39"/>
    </row>
    <row r="9" spans="1:8" ht="13.4" customHeight="1">
      <c r="A9" t="s">
        <v>199</v>
      </c>
      <c r="C9">
        <f>SIMULATOR!C6</f>
        <v>349</v>
      </c>
      <c r="E9" s="23" t="str">
        <f>HYPERLINK("#'EXERCISE A-B-C'!A1","EXERCISE A/B/C")</f>
        <v>EXERCISE A/B/C</v>
      </c>
      <c r="G9" s="23" t="str">
        <f>HYPERLINK("#'FORMULAS &amp; CONCEPTS'!A1","FORMULAS")</f>
        <v>FORMULAS</v>
      </c>
    </row>
    <row r="10" spans="1:8">
      <c r="A10" t="s">
        <v>84</v>
      </c>
      <c r="C10">
        <f>SIMULATOR!C10</f>
        <v>25</v>
      </c>
    </row>
    <row r="11" spans="1:8">
      <c r="A11" t="s">
        <v>200</v>
      </c>
      <c r="C11">
        <f>SIMULATOR!C13</f>
        <v>3000</v>
      </c>
      <c r="E11" t="s">
        <v>201</v>
      </c>
      <c r="H11" s="24">
        <f>SIMULATOR!C33</f>
        <v>394.416</v>
      </c>
    </row>
    <row r="12" spans="1:8">
      <c r="E12" t="s">
        <v>202</v>
      </c>
    </row>
    <row r="15" spans="1:8" ht="12.4" customHeight="1">
      <c r="A15" s="41" t="s">
        <v>203</v>
      </c>
      <c r="B15" s="41"/>
      <c r="C15" s="41"/>
      <c r="D15" s="41"/>
      <c r="E15" s="41" t="s">
        <v>204</v>
      </c>
      <c r="F15" s="41"/>
      <c r="G15" s="41"/>
      <c r="H15" s="41"/>
    </row>
    <row r="16" spans="1:8">
      <c r="A16" s="42" t="s">
        <v>205</v>
      </c>
      <c r="B16" s="42"/>
      <c r="C16" s="42"/>
      <c r="D16" s="42"/>
      <c r="E16" s="42" t="s">
        <v>206</v>
      </c>
      <c r="F16" s="42"/>
      <c r="G16" s="42"/>
      <c r="H16" s="42"/>
    </row>
    <row r="17" spans="1:8" ht="12.9" customHeight="1">
      <c r="A17" s="43" t="s">
        <v>207</v>
      </c>
      <c r="B17" s="43"/>
      <c r="C17" s="28">
        <f>SUM(SIMULATOR!C7:C9)</f>
        <v>120</v>
      </c>
      <c r="D17" s="27"/>
      <c r="E17" s="43" t="s">
        <v>207</v>
      </c>
      <c r="F17" s="43"/>
      <c r="G17" s="28">
        <f>SIMULATOR!C6-C17</f>
        <v>229</v>
      </c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20" spans="1:8" ht="12.4" customHeight="1">
      <c r="A20" s="41" t="s">
        <v>208</v>
      </c>
      <c r="B20" s="41"/>
      <c r="C20" s="41"/>
      <c r="D20" s="41"/>
      <c r="E20" s="41" t="s">
        <v>209</v>
      </c>
      <c r="F20" s="41"/>
      <c r="G20" s="41"/>
      <c r="H20" s="41"/>
    </row>
    <row r="21" spans="1:8">
      <c r="A21" s="42" t="s">
        <v>210</v>
      </c>
      <c r="B21" s="42"/>
      <c r="C21" s="42"/>
      <c r="D21" s="42"/>
      <c r="E21" s="42" t="s">
        <v>211</v>
      </c>
      <c r="F21" s="42"/>
      <c r="G21" s="42"/>
      <c r="H21" s="42"/>
    </row>
    <row r="22" spans="1:8" ht="12.9" customHeight="1">
      <c r="A22" s="43" t="s">
        <v>207</v>
      </c>
      <c r="B22" s="43"/>
      <c r="C22" s="29">
        <f>IFERROR(G17/SIMULATOR!C6,0)</f>
        <v>0.65616045845272208</v>
      </c>
      <c r="D22" s="27"/>
      <c r="E22" s="43" t="s">
        <v>207</v>
      </c>
      <c r="F22" s="43"/>
      <c r="G22" s="30">
        <f>SIMULATOR!C16</f>
        <v>22</v>
      </c>
      <c r="H22" s="27"/>
    </row>
    <row r="23" spans="1:8">
      <c r="A23" s="27"/>
      <c r="B23" s="27"/>
      <c r="C23" s="27"/>
      <c r="D23" s="27"/>
      <c r="E23" s="27"/>
      <c r="F23" s="27"/>
      <c r="G23" s="27"/>
      <c r="H23" s="27"/>
    </row>
    <row r="25" spans="1:8" ht="12.4" customHeight="1">
      <c r="A25" s="41" t="s">
        <v>212</v>
      </c>
      <c r="B25" s="41"/>
      <c r="C25" s="41"/>
      <c r="D25" s="41"/>
      <c r="E25" s="41" t="s">
        <v>213</v>
      </c>
      <c r="F25" s="41"/>
      <c r="G25" s="41"/>
      <c r="H25" s="41"/>
    </row>
    <row r="26" spans="1:8">
      <c r="A26" s="42" t="s">
        <v>214</v>
      </c>
      <c r="B26" s="42"/>
      <c r="C26" s="42"/>
      <c r="D26" s="42"/>
      <c r="E26" s="42" t="s">
        <v>215</v>
      </c>
      <c r="F26" s="42"/>
      <c r="G26" s="42"/>
      <c r="H26" s="42"/>
    </row>
    <row r="27" spans="1:8" ht="12.9" customHeight="1">
      <c r="A27" s="43" t="s">
        <v>207</v>
      </c>
      <c r="B27" s="43"/>
      <c r="C27" s="30">
        <f>G22*SIMULATOR!C11</f>
        <v>15.84</v>
      </c>
      <c r="D27" s="27"/>
      <c r="E27" s="43" t="s">
        <v>207</v>
      </c>
      <c r="F27" s="43"/>
      <c r="G27" s="30">
        <f>C27*SIMULATOR!C12</f>
        <v>13.1472</v>
      </c>
      <c r="H27" s="27"/>
    </row>
    <row r="28" spans="1:8">
      <c r="A28" s="27"/>
      <c r="B28" s="27"/>
      <c r="C28" s="27"/>
      <c r="D28" s="27"/>
      <c r="E28" s="27"/>
      <c r="F28" s="27"/>
      <c r="G28" s="27"/>
      <c r="H28" s="27"/>
    </row>
    <row r="30" spans="1:8" ht="12.4" customHeight="1">
      <c r="A30" s="41" t="s">
        <v>216</v>
      </c>
      <c r="B30" s="41"/>
      <c r="C30" s="41"/>
      <c r="D30" s="41"/>
      <c r="E30" s="41" t="s">
        <v>217</v>
      </c>
      <c r="F30" s="41"/>
      <c r="G30" s="41"/>
      <c r="H30" s="41"/>
    </row>
    <row r="31" spans="1:8">
      <c r="A31" s="42" t="s">
        <v>218</v>
      </c>
      <c r="B31" s="42"/>
      <c r="C31" s="42"/>
      <c r="D31" s="42"/>
      <c r="E31" s="42" t="s">
        <v>219</v>
      </c>
      <c r="F31" s="42"/>
      <c r="G31" s="42"/>
      <c r="H31" s="42"/>
    </row>
    <row r="32" spans="1:8" ht="12.9" customHeight="1">
      <c r="A32" s="43" t="s">
        <v>207</v>
      </c>
      <c r="B32" s="43"/>
      <c r="C32" s="29">
        <f>1-SIMULATOR!C12</f>
        <v>0.17000000000000004</v>
      </c>
      <c r="D32" s="27"/>
      <c r="E32" s="43" t="s">
        <v>207</v>
      </c>
      <c r="F32" s="43"/>
      <c r="G32" s="28">
        <f>IFERROR(SIMULATOR!C10/(SIMULATOR!C11*SIMULATOR!C12),0)</f>
        <v>41.834002677376176</v>
      </c>
      <c r="H32" s="27"/>
    </row>
    <row r="33" spans="1:8">
      <c r="A33" s="27"/>
      <c r="B33" s="27"/>
      <c r="C33" s="27"/>
      <c r="D33" s="27"/>
      <c r="E33" s="27"/>
      <c r="F33" s="27"/>
      <c r="G33" s="27"/>
      <c r="H33" s="27"/>
    </row>
    <row r="35" spans="1:8" ht="12.4" customHeight="1">
      <c r="A35" s="41" t="s">
        <v>220</v>
      </c>
      <c r="B35" s="41"/>
      <c r="C35" s="41"/>
      <c r="D35" s="41"/>
      <c r="E35" s="41" t="s">
        <v>221</v>
      </c>
      <c r="F35" s="41"/>
      <c r="G35" s="41"/>
      <c r="H35" s="41"/>
    </row>
    <row r="36" spans="1:8">
      <c r="A36" s="42" t="s">
        <v>222</v>
      </c>
      <c r="B36" s="42"/>
      <c r="C36" s="42"/>
      <c r="D36" s="42"/>
      <c r="E36" s="42" t="s">
        <v>223</v>
      </c>
      <c r="F36" s="42"/>
      <c r="G36" s="42"/>
      <c r="H36" s="42"/>
    </row>
    <row r="37" spans="1:8" ht="12.9" customHeight="1">
      <c r="A37" s="43" t="s">
        <v>207</v>
      </c>
      <c r="B37" s="43"/>
      <c r="C37" s="28">
        <f>IFERROR(C27*SIMULATOR!C14/G27,0)</f>
        <v>3.6144578313253009</v>
      </c>
      <c r="D37" s="27"/>
      <c r="E37" s="43" t="s">
        <v>207</v>
      </c>
      <c r="F37" s="43"/>
      <c r="G37" s="28">
        <f>IFERROR((C27-G27)*SIMULATOR!C15/G27,0)</f>
        <v>5.120481927710844</v>
      </c>
      <c r="H37" s="27"/>
    </row>
    <row r="38" spans="1:8">
      <c r="A38" s="27"/>
      <c r="B38" s="27"/>
      <c r="C38" s="27"/>
      <c r="D38" s="27"/>
      <c r="E38" s="27"/>
      <c r="F38" s="27"/>
      <c r="G38" s="27"/>
      <c r="H38" s="27"/>
    </row>
    <row r="40" spans="1:8" ht="12.4" customHeight="1">
      <c r="A40" s="41" t="s">
        <v>224</v>
      </c>
      <c r="B40" s="41"/>
      <c r="C40" s="41"/>
      <c r="D40" s="41"/>
      <c r="E40" s="41" t="s">
        <v>225</v>
      </c>
      <c r="F40" s="41"/>
      <c r="G40" s="41"/>
      <c r="H40" s="41"/>
    </row>
    <row r="41" spans="1:8">
      <c r="A41" s="42" t="s">
        <v>226</v>
      </c>
      <c r="B41" s="42"/>
      <c r="C41" s="42"/>
      <c r="D41" s="42"/>
      <c r="E41" s="42" t="s">
        <v>227</v>
      </c>
      <c r="F41" s="42"/>
      <c r="G41" s="42"/>
      <c r="H41" s="42"/>
    </row>
    <row r="42" spans="1:8" ht="12.9" customHeight="1">
      <c r="A42" s="43" t="s">
        <v>207</v>
      </c>
      <c r="B42" s="43"/>
      <c r="C42" s="28">
        <f>SUM(C17,G32,C37,G37)</f>
        <v>170.56894243641233</v>
      </c>
      <c r="D42" s="27"/>
      <c r="E42" s="43" t="s">
        <v>207</v>
      </c>
      <c r="F42" s="43"/>
      <c r="G42" s="28">
        <f>SIMULATOR!C6-C42</f>
        <v>178.43105756358767</v>
      </c>
      <c r="H42" s="27"/>
    </row>
    <row r="43" spans="1:8">
      <c r="A43" s="27"/>
      <c r="B43" s="27"/>
      <c r="C43" s="27"/>
      <c r="D43" s="27"/>
      <c r="E43" s="27"/>
      <c r="F43" s="27"/>
      <c r="G43" s="27"/>
      <c r="H43" s="27"/>
    </row>
    <row r="45" spans="1:8" ht="12.4" customHeight="1">
      <c r="A45" s="41" t="s">
        <v>228</v>
      </c>
      <c r="B45" s="41"/>
      <c r="C45" s="41"/>
      <c r="D45" s="41"/>
    </row>
    <row r="46" spans="1:8">
      <c r="A46" s="42" t="s">
        <v>229</v>
      </c>
      <c r="B46" s="42"/>
      <c r="C46" s="42"/>
      <c r="D46" s="42"/>
    </row>
    <row r="47" spans="1:8" ht="12.9" customHeight="1">
      <c r="A47" s="43" t="s">
        <v>207</v>
      </c>
      <c r="B47" s="43"/>
      <c r="C47" s="28">
        <f>G42-IFERROR(SIMULATOR!C13/(G27*SIMULATOR!C17),0)</f>
        <v>170.82487525861018</v>
      </c>
      <c r="D47" s="27"/>
    </row>
    <row r="48" spans="1:8">
      <c r="A48" s="27"/>
      <c r="B48" s="27"/>
      <c r="C48" s="27"/>
      <c r="D48" s="27"/>
    </row>
    <row r="51" spans="1:8">
      <c r="A51" s="39" t="s">
        <v>230</v>
      </c>
      <c r="B51" s="39"/>
      <c r="C51" s="39"/>
      <c r="D51" s="39"/>
      <c r="E51" s="39"/>
      <c r="F51" s="39"/>
      <c r="G51" s="39"/>
      <c r="H51" s="39"/>
    </row>
    <row r="55" spans="1:8" ht="12.4" customHeight="1">
      <c r="A55" s="41" t="s">
        <v>231</v>
      </c>
      <c r="B55" s="41"/>
      <c r="C55" s="41"/>
      <c r="D55" s="41"/>
      <c r="E55" s="41" t="s">
        <v>232</v>
      </c>
      <c r="F55" s="41"/>
      <c r="G55" s="41"/>
      <c r="H55" s="41"/>
    </row>
    <row r="56" spans="1:8">
      <c r="A56" s="42" t="s">
        <v>233</v>
      </c>
      <c r="B56" s="42"/>
      <c r="C56" s="42"/>
      <c r="D56" s="42"/>
      <c r="E56" s="42" t="s">
        <v>234</v>
      </c>
      <c r="F56" s="42"/>
      <c r="G56" s="42"/>
      <c r="H56" s="42"/>
    </row>
    <row r="57" spans="1:8">
      <c r="A57" s="43" t="s">
        <v>207</v>
      </c>
      <c r="B57" s="43"/>
      <c r="C57" s="30">
        <f>IF(G42&lt;=0,"N/A",ROUNDUP(SIMULATOR!C13/G42,0))</f>
        <v>17</v>
      </c>
      <c r="D57" s="27"/>
      <c r="E57" s="43" t="s">
        <v>207</v>
      </c>
      <c r="F57" s="43"/>
      <c r="G57" s="28">
        <f>G42*$H$11-SIMULATOR!C13</f>
        <v>67376.063999999998</v>
      </c>
      <c r="H57" s="27"/>
    </row>
    <row r="58" spans="1:8">
      <c r="A58" s="27"/>
      <c r="B58" s="27"/>
      <c r="C58" s="27"/>
      <c r="D58" s="27"/>
      <c r="E58" s="27"/>
      <c r="F58" s="27"/>
      <c r="G58" s="27"/>
      <c r="H58" s="27"/>
    </row>
  </sheetData>
  <mergeCells count="50">
    <mergeCell ref="E56:H56"/>
    <mergeCell ref="E57:F57"/>
    <mergeCell ref="A55:D55"/>
    <mergeCell ref="A56:D56"/>
    <mergeCell ref="A57:B57"/>
    <mergeCell ref="A45:D45"/>
    <mergeCell ref="A46:D46"/>
    <mergeCell ref="A47:B47"/>
    <mergeCell ref="A51:H51"/>
    <mergeCell ref="E55:H55"/>
    <mergeCell ref="A40:D40"/>
    <mergeCell ref="A41:D41"/>
    <mergeCell ref="A42:B42"/>
    <mergeCell ref="E40:H40"/>
    <mergeCell ref="E41:H41"/>
    <mergeCell ref="E42:F42"/>
    <mergeCell ref="A35:D35"/>
    <mergeCell ref="A36:D36"/>
    <mergeCell ref="A37:B37"/>
    <mergeCell ref="E35:H35"/>
    <mergeCell ref="E36:H36"/>
    <mergeCell ref="E37:F37"/>
    <mergeCell ref="A30:D30"/>
    <mergeCell ref="A31:D31"/>
    <mergeCell ref="A32:B32"/>
    <mergeCell ref="E30:H30"/>
    <mergeCell ref="E31:H31"/>
    <mergeCell ref="E32:F32"/>
    <mergeCell ref="A25:D25"/>
    <mergeCell ref="A26:D26"/>
    <mergeCell ref="A27:B27"/>
    <mergeCell ref="E25:H25"/>
    <mergeCell ref="E26:H26"/>
    <mergeCell ref="E27:F27"/>
    <mergeCell ref="A20:D20"/>
    <mergeCell ref="A21:D21"/>
    <mergeCell ref="A22:B22"/>
    <mergeCell ref="E20:H20"/>
    <mergeCell ref="E21:H21"/>
    <mergeCell ref="E22:F22"/>
    <mergeCell ref="A16:D16"/>
    <mergeCell ref="A17:B17"/>
    <mergeCell ref="E15:H15"/>
    <mergeCell ref="E16:H16"/>
    <mergeCell ref="E17:F17"/>
    <mergeCell ref="A1:H2"/>
    <mergeCell ref="A3:H3"/>
    <mergeCell ref="A7:D7"/>
    <mergeCell ref="E7:H7"/>
    <mergeCell ref="A15:D1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58"/>
  <sheetViews>
    <sheetView topLeftCell="A13" workbookViewId="0">
      <selection activeCell="G17" sqref="G17"/>
    </sheetView>
  </sheetViews>
  <sheetFormatPr baseColWidth="10" defaultColWidth="8.6640625" defaultRowHeight="14"/>
  <cols>
    <col min="1" max="8" width="21" customWidth="1"/>
  </cols>
  <sheetData>
    <row r="1" spans="1:8" ht="13.4" customHeight="1">
      <c r="A1" s="39" t="s">
        <v>236</v>
      </c>
      <c r="B1" s="39"/>
      <c r="C1" s="39"/>
      <c r="D1" s="39"/>
      <c r="E1" s="39"/>
      <c r="F1" s="39"/>
      <c r="G1" s="39"/>
      <c r="H1" s="39"/>
    </row>
    <row r="2" spans="1:8" ht="13.4" customHeight="1">
      <c r="A2" s="39"/>
      <c r="B2" s="39"/>
      <c r="C2" s="39"/>
      <c r="D2" s="39"/>
      <c r="E2" s="39"/>
      <c r="F2" s="39"/>
      <c r="G2" s="39"/>
      <c r="H2" s="39"/>
    </row>
    <row r="3" spans="1:8">
      <c r="A3" s="40" t="s">
        <v>196</v>
      </c>
      <c r="B3" s="40"/>
      <c r="C3" s="40"/>
      <c r="D3" s="40"/>
      <c r="E3" s="40"/>
      <c r="F3" s="40"/>
      <c r="G3" s="40"/>
      <c r="H3" s="40"/>
    </row>
    <row r="5" spans="1:8" ht="13.4" customHeight="1">
      <c r="A5" s="23" t="str">
        <f>HYPERLINK("#'PRACTICE A'!A1","PRODUCT A")</f>
        <v>PRODUCT A</v>
      </c>
      <c r="C5" s="23" t="str">
        <f>HYPERLINK("#'PRACTICE B'!A1","PRODUCT B")</f>
        <v>PRODUCT B</v>
      </c>
      <c r="E5" s="23" t="str">
        <f>HYPERLINK("#'PRACTICE C'!A1","PRODUCT C")</f>
        <v>PRODUCT C</v>
      </c>
      <c r="G5" s="23" t="str">
        <f>HYPERLINK("#'COMPARE PRODUCTS'!A1","COMPARE")</f>
        <v>COMPARE</v>
      </c>
    </row>
    <row r="7" spans="1:8">
      <c r="A7" s="39" t="s">
        <v>197</v>
      </c>
      <c r="B7" s="39"/>
      <c r="C7" s="39"/>
      <c r="D7" s="39"/>
      <c r="E7" s="39" t="s">
        <v>198</v>
      </c>
      <c r="F7" s="39"/>
      <c r="G7" s="39"/>
      <c r="H7" s="39"/>
    </row>
    <row r="9" spans="1:8" ht="13.4" customHeight="1">
      <c r="A9" t="s">
        <v>199</v>
      </c>
      <c r="C9">
        <f>SIMULATOR!D6</f>
        <v>599</v>
      </c>
      <c r="E9" s="23" t="str">
        <f>HYPERLINK("#'EXERCISE A-B-C'!A1","EXERCISE A/B/C")</f>
        <v>EXERCISE A/B/C</v>
      </c>
      <c r="G9" s="23" t="str">
        <f>HYPERLINK("#'FORMULAS &amp; CONCEPTS'!A1","FORMULAS")</f>
        <v>FORMULAS</v>
      </c>
    </row>
    <row r="10" spans="1:8">
      <c r="A10" t="s">
        <v>84</v>
      </c>
      <c r="C10">
        <f>SIMULATOR!D10</f>
        <v>40</v>
      </c>
    </row>
    <row r="11" spans="1:8">
      <c r="A11" t="s">
        <v>200</v>
      </c>
      <c r="C11">
        <f>SIMULATOR!D13</f>
        <v>5000</v>
      </c>
      <c r="E11" t="s">
        <v>201</v>
      </c>
      <c r="H11" s="24">
        <f>SIMULATOR!D33</f>
        <v>453.024</v>
      </c>
    </row>
    <row r="12" spans="1:8">
      <c r="E12" t="s">
        <v>202</v>
      </c>
    </row>
    <row r="15" spans="1:8" ht="12.4" customHeight="1">
      <c r="A15" s="41" t="s">
        <v>203</v>
      </c>
      <c r="B15" s="41"/>
      <c r="C15" s="41"/>
      <c r="D15" s="41"/>
      <c r="E15" s="41" t="s">
        <v>204</v>
      </c>
      <c r="F15" s="41"/>
      <c r="G15" s="41"/>
      <c r="H15" s="41"/>
    </row>
    <row r="16" spans="1:8">
      <c r="A16" s="42" t="s">
        <v>205</v>
      </c>
      <c r="B16" s="42"/>
      <c r="C16" s="42"/>
      <c r="D16" s="42"/>
      <c r="E16" s="42" t="s">
        <v>206</v>
      </c>
      <c r="F16" s="42"/>
      <c r="G16" s="42"/>
      <c r="H16" s="42"/>
    </row>
    <row r="17" spans="1:8" ht="12.9" customHeight="1">
      <c r="A17" s="43" t="s">
        <v>207</v>
      </c>
      <c r="B17" s="43"/>
      <c r="C17" s="28">
        <f>SUM(SIMULATOR!D7:D9)</f>
        <v>175</v>
      </c>
      <c r="D17" s="27"/>
      <c r="E17" s="43" t="s">
        <v>207</v>
      </c>
      <c r="F17" s="43"/>
      <c r="G17" s="28">
        <f>SIMULATOR!D6-C17</f>
        <v>424</v>
      </c>
      <c r="H17" s="27"/>
    </row>
    <row r="18" spans="1:8">
      <c r="A18" s="27"/>
      <c r="B18" s="27"/>
      <c r="C18" s="27"/>
      <c r="D18" s="27"/>
      <c r="E18" s="27"/>
      <c r="F18" s="27"/>
      <c r="G18" s="27"/>
      <c r="H18" s="27"/>
    </row>
    <row r="20" spans="1:8" ht="12.4" customHeight="1">
      <c r="A20" s="41" t="s">
        <v>208</v>
      </c>
      <c r="B20" s="41"/>
      <c r="C20" s="41"/>
      <c r="D20" s="41"/>
      <c r="E20" s="41" t="s">
        <v>209</v>
      </c>
      <c r="F20" s="41"/>
      <c r="G20" s="41"/>
      <c r="H20" s="41"/>
    </row>
    <row r="21" spans="1:8">
      <c r="A21" s="42" t="s">
        <v>210</v>
      </c>
      <c r="B21" s="42"/>
      <c r="C21" s="42"/>
      <c r="D21" s="42"/>
      <c r="E21" s="42" t="s">
        <v>211</v>
      </c>
      <c r="F21" s="42"/>
      <c r="G21" s="42"/>
      <c r="H21" s="42"/>
    </row>
    <row r="22" spans="1:8" ht="12.9" customHeight="1">
      <c r="A22" s="43" t="s">
        <v>207</v>
      </c>
      <c r="B22" s="43"/>
      <c r="C22" s="29">
        <f>IFERROR(G17/SIMULATOR!D6,0)</f>
        <v>0.70784641068447407</v>
      </c>
      <c r="D22" s="27"/>
      <c r="E22" s="43" t="s">
        <v>207</v>
      </c>
      <c r="F22" s="43"/>
      <c r="G22" s="30">
        <f>SIMULATOR!D16</f>
        <v>22</v>
      </c>
      <c r="H22" s="27"/>
    </row>
    <row r="23" spans="1:8">
      <c r="A23" s="27"/>
      <c r="B23" s="27"/>
      <c r="C23" s="27"/>
      <c r="D23" s="27"/>
      <c r="E23" s="27"/>
      <c r="F23" s="27"/>
      <c r="G23" s="27"/>
      <c r="H23" s="27"/>
    </row>
    <row r="25" spans="1:8" ht="12.4" customHeight="1">
      <c r="A25" s="41" t="s">
        <v>212</v>
      </c>
      <c r="B25" s="41"/>
      <c r="C25" s="41"/>
      <c r="D25" s="41"/>
      <c r="E25" s="41" t="s">
        <v>213</v>
      </c>
      <c r="F25" s="41"/>
      <c r="G25" s="41"/>
      <c r="H25" s="41"/>
    </row>
    <row r="26" spans="1:8">
      <c r="A26" s="42" t="s">
        <v>214</v>
      </c>
      <c r="B26" s="42"/>
      <c r="C26" s="42"/>
      <c r="D26" s="42"/>
      <c r="E26" s="42" t="s">
        <v>215</v>
      </c>
      <c r="F26" s="42"/>
      <c r="G26" s="42"/>
      <c r="H26" s="42"/>
    </row>
    <row r="27" spans="1:8" ht="12.9" customHeight="1">
      <c r="A27" s="43" t="s">
        <v>207</v>
      </c>
      <c r="B27" s="43"/>
      <c r="C27" s="30">
        <f>G22*SIMULATOR!D11</f>
        <v>17.16</v>
      </c>
      <c r="D27" s="27"/>
      <c r="E27" s="43" t="s">
        <v>207</v>
      </c>
      <c r="F27" s="43"/>
      <c r="G27" s="30">
        <f>C27*SIMULATOR!D12</f>
        <v>15.1008</v>
      </c>
      <c r="H27" s="27"/>
    </row>
    <row r="28" spans="1:8">
      <c r="A28" s="27"/>
      <c r="B28" s="27"/>
      <c r="C28" s="27"/>
      <c r="D28" s="27"/>
      <c r="E28" s="27"/>
      <c r="F28" s="27"/>
      <c r="G28" s="27"/>
      <c r="H28" s="27"/>
    </row>
    <row r="30" spans="1:8" ht="12.4" customHeight="1">
      <c r="A30" s="41" t="s">
        <v>216</v>
      </c>
      <c r="B30" s="41"/>
      <c r="C30" s="41"/>
      <c r="D30" s="41"/>
      <c r="E30" s="41" t="s">
        <v>217</v>
      </c>
      <c r="F30" s="41"/>
      <c r="G30" s="41"/>
      <c r="H30" s="41"/>
    </row>
    <row r="31" spans="1:8">
      <c r="A31" s="42" t="s">
        <v>218</v>
      </c>
      <c r="B31" s="42"/>
      <c r="C31" s="42"/>
      <c r="D31" s="42"/>
      <c r="E31" s="42" t="s">
        <v>219</v>
      </c>
      <c r="F31" s="42"/>
      <c r="G31" s="42"/>
      <c r="H31" s="42"/>
    </row>
    <row r="32" spans="1:8" ht="12.9" customHeight="1">
      <c r="A32" s="43" t="s">
        <v>207</v>
      </c>
      <c r="B32" s="43"/>
      <c r="C32" s="29">
        <f>1-SIMULATOR!D12</f>
        <v>0.12</v>
      </c>
      <c r="D32" s="27"/>
      <c r="E32" s="43" t="s">
        <v>207</v>
      </c>
      <c r="F32" s="43"/>
      <c r="G32" s="28">
        <f>IFERROR(SIMULATOR!D10/(SIMULATOR!D11*SIMULATOR!D12),0)</f>
        <v>58.275058275058271</v>
      </c>
      <c r="H32" s="27"/>
    </row>
    <row r="33" spans="1:8">
      <c r="A33" s="27"/>
      <c r="B33" s="27"/>
      <c r="C33" s="27"/>
      <c r="D33" s="27"/>
      <c r="E33" s="27"/>
      <c r="F33" s="27"/>
      <c r="G33" s="27"/>
      <c r="H33" s="27"/>
    </row>
    <row r="35" spans="1:8" ht="12.4" customHeight="1">
      <c r="A35" s="41" t="s">
        <v>220</v>
      </c>
      <c r="B35" s="41"/>
      <c r="C35" s="41"/>
      <c r="D35" s="41"/>
      <c r="E35" s="41" t="s">
        <v>221</v>
      </c>
      <c r="F35" s="41"/>
      <c r="G35" s="41"/>
      <c r="H35" s="41"/>
    </row>
    <row r="36" spans="1:8">
      <c r="A36" s="42" t="s">
        <v>222</v>
      </c>
      <c r="B36" s="42"/>
      <c r="C36" s="42"/>
      <c r="D36" s="42"/>
      <c r="E36" s="42" t="s">
        <v>223</v>
      </c>
      <c r="F36" s="42"/>
      <c r="G36" s="42"/>
      <c r="H36" s="42"/>
    </row>
    <row r="37" spans="1:8" ht="12.9" customHeight="1">
      <c r="A37" s="43" t="s">
        <v>207</v>
      </c>
      <c r="B37" s="43"/>
      <c r="C37" s="28">
        <f>IFERROR(C27*SIMULATOR!D14/G27,0)</f>
        <v>3.4090909090909096</v>
      </c>
      <c r="D37" s="27"/>
      <c r="E37" s="43" t="s">
        <v>207</v>
      </c>
      <c r="F37" s="43"/>
      <c r="G37" s="28">
        <f>IFERROR((C27-G27)*SIMULATOR!D15/G27,0)</f>
        <v>3.4090909090909105</v>
      </c>
      <c r="H37" s="27"/>
    </row>
    <row r="38" spans="1:8">
      <c r="A38" s="27"/>
      <c r="B38" s="27"/>
      <c r="C38" s="27"/>
      <c r="D38" s="27"/>
      <c r="E38" s="27"/>
      <c r="F38" s="27"/>
      <c r="G38" s="27"/>
      <c r="H38" s="27"/>
    </row>
    <row r="40" spans="1:8" ht="12.4" customHeight="1">
      <c r="A40" s="41" t="s">
        <v>224</v>
      </c>
      <c r="B40" s="41"/>
      <c r="C40" s="41"/>
      <c r="D40" s="41"/>
      <c r="E40" s="41" t="s">
        <v>225</v>
      </c>
      <c r="F40" s="41"/>
      <c r="G40" s="41"/>
      <c r="H40" s="41"/>
    </row>
    <row r="41" spans="1:8">
      <c r="A41" s="42" t="s">
        <v>226</v>
      </c>
      <c r="B41" s="42"/>
      <c r="C41" s="42"/>
      <c r="D41" s="42"/>
      <c r="E41" s="42" t="s">
        <v>227</v>
      </c>
      <c r="F41" s="42"/>
      <c r="G41" s="42"/>
      <c r="H41" s="42"/>
    </row>
    <row r="42" spans="1:8" ht="12.9" customHeight="1">
      <c r="A42" s="43" t="s">
        <v>207</v>
      </c>
      <c r="B42" s="43"/>
      <c r="C42" s="28">
        <f>SUM(C17,G32,C37,G37)</f>
        <v>240.09324009324007</v>
      </c>
      <c r="D42" s="27"/>
      <c r="E42" s="43" t="s">
        <v>207</v>
      </c>
      <c r="F42" s="43"/>
      <c r="G42" s="28">
        <f>SIMULATOR!D6-C42</f>
        <v>358.90675990675993</v>
      </c>
      <c r="H42" s="27"/>
    </row>
    <row r="43" spans="1:8">
      <c r="A43" s="27"/>
      <c r="B43" s="27"/>
      <c r="C43" s="27"/>
      <c r="D43" s="27"/>
      <c r="E43" s="27"/>
      <c r="F43" s="27"/>
      <c r="G43" s="27"/>
      <c r="H43" s="27"/>
    </row>
    <row r="45" spans="1:8" ht="12.4" customHeight="1">
      <c r="A45" s="41" t="s">
        <v>228</v>
      </c>
      <c r="B45" s="41"/>
      <c r="C45" s="41"/>
      <c r="D45" s="41"/>
    </row>
    <row r="46" spans="1:8">
      <c r="A46" s="42" t="s">
        <v>229</v>
      </c>
      <c r="B46" s="42"/>
      <c r="C46" s="42"/>
      <c r="D46" s="42"/>
    </row>
    <row r="47" spans="1:8" ht="12.9" customHeight="1">
      <c r="A47" s="43" t="s">
        <v>207</v>
      </c>
      <c r="B47" s="43"/>
      <c r="C47" s="28">
        <f>G42-IFERROR(SIMULATOR!D13/(G27*SIMULATOR!D17),0)</f>
        <v>347.86981705163527</v>
      </c>
      <c r="D47" s="27"/>
    </row>
    <row r="48" spans="1:8">
      <c r="A48" s="27"/>
      <c r="B48" s="27"/>
      <c r="C48" s="27"/>
      <c r="D48" s="27"/>
    </row>
    <row r="51" spans="1:8">
      <c r="A51" s="39" t="s">
        <v>230</v>
      </c>
      <c r="B51" s="39"/>
      <c r="C51" s="39"/>
      <c r="D51" s="39"/>
      <c r="E51" s="39"/>
      <c r="F51" s="39"/>
      <c r="G51" s="39"/>
      <c r="H51" s="39"/>
    </row>
    <row r="55" spans="1:8" ht="12.4" customHeight="1">
      <c r="A55" s="41" t="s">
        <v>231</v>
      </c>
      <c r="B55" s="41"/>
      <c r="C55" s="41"/>
      <c r="D55" s="41"/>
      <c r="E55" s="41" t="s">
        <v>232</v>
      </c>
      <c r="F55" s="41"/>
      <c r="G55" s="41"/>
      <c r="H55" s="41"/>
    </row>
    <row r="56" spans="1:8">
      <c r="A56" s="42" t="s">
        <v>233</v>
      </c>
      <c r="B56" s="42"/>
      <c r="C56" s="42"/>
      <c r="D56" s="42"/>
      <c r="E56" s="42" t="s">
        <v>234</v>
      </c>
      <c r="F56" s="42"/>
      <c r="G56" s="42"/>
      <c r="H56" s="42"/>
    </row>
    <row r="57" spans="1:8">
      <c r="A57" s="43" t="s">
        <v>207</v>
      </c>
      <c r="B57" s="43"/>
      <c r="C57" s="30">
        <f>IF(G42&lt;=0,"N/A",ROUNDUP(SIMULATOR!D13/G42,0))</f>
        <v>14</v>
      </c>
      <c r="D57" s="27"/>
      <c r="E57" s="43" t="s">
        <v>207</v>
      </c>
      <c r="F57" s="43"/>
      <c r="G57" s="28">
        <f>G42*$H$11-SIMULATOR!D13</f>
        <v>157593.37600000002</v>
      </c>
      <c r="H57" s="27"/>
    </row>
    <row r="58" spans="1:8">
      <c r="A58" s="27"/>
      <c r="B58" s="27"/>
      <c r="C58" s="27"/>
      <c r="D58" s="27"/>
      <c r="E58" s="27"/>
      <c r="F58" s="27"/>
      <c r="G58" s="27"/>
      <c r="H58" s="27"/>
    </row>
  </sheetData>
  <mergeCells count="50">
    <mergeCell ref="E56:H56"/>
    <mergeCell ref="E57:F57"/>
    <mergeCell ref="A55:D55"/>
    <mergeCell ref="A56:D56"/>
    <mergeCell ref="A57:B57"/>
    <mergeCell ref="A45:D45"/>
    <mergeCell ref="A46:D46"/>
    <mergeCell ref="A47:B47"/>
    <mergeCell ref="A51:H51"/>
    <mergeCell ref="E55:H55"/>
    <mergeCell ref="A40:D40"/>
    <mergeCell ref="A41:D41"/>
    <mergeCell ref="A42:B42"/>
    <mergeCell ref="E40:H40"/>
    <mergeCell ref="E41:H41"/>
    <mergeCell ref="E42:F42"/>
    <mergeCell ref="A35:D35"/>
    <mergeCell ref="A36:D36"/>
    <mergeCell ref="A37:B37"/>
    <mergeCell ref="E35:H35"/>
    <mergeCell ref="E36:H36"/>
    <mergeCell ref="E37:F37"/>
    <mergeCell ref="A30:D30"/>
    <mergeCell ref="A31:D31"/>
    <mergeCell ref="A32:B32"/>
    <mergeCell ref="E30:H30"/>
    <mergeCell ref="E31:H31"/>
    <mergeCell ref="E32:F32"/>
    <mergeCell ref="A25:D25"/>
    <mergeCell ref="A26:D26"/>
    <mergeCell ref="A27:B27"/>
    <mergeCell ref="E25:H25"/>
    <mergeCell ref="E26:H26"/>
    <mergeCell ref="E27:F27"/>
    <mergeCell ref="A20:D20"/>
    <mergeCell ref="A21:D21"/>
    <mergeCell ref="A22:B22"/>
    <mergeCell ref="E20:H20"/>
    <mergeCell ref="E21:H21"/>
    <mergeCell ref="E22:F22"/>
    <mergeCell ref="A16:D16"/>
    <mergeCell ref="A17:B17"/>
    <mergeCell ref="E15:H15"/>
    <mergeCell ref="E16:H16"/>
    <mergeCell ref="E17:F17"/>
    <mergeCell ref="A1:H2"/>
    <mergeCell ref="A3:H3"/>
    <mergeCell ref="A7:D7"/>
    <mergeCell ref="E7:H7"/>
    <mergeCell ref="A15:D15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topLeftCell="A4" workbookViewId="0">
      <selection activeCell="B13" sqref="B13"/>
    </sheetView>
  </sheetViews>
  <sheetFormatPr baseColWidth="10" defaultColWidth="8.6640625" defaultRowHeight="14"/>
  <cols>
    <col min="1" max="8" width="23" customWidth="1"/>
  </cols>
  <sheetData>
    <row r="1" spans="1:8" ht="13.4" customHeight="1">
      <c r="A1" s="39" t="s">
        <v>237</v>
      </c>
      <c r="B1" s="39"/>
      <c r="C1" s="39"/>
      <c r="D1" s="39"/>
      <c r="E1" s="39"/>
      <c r="F1" s="39"/>
      <c r="G1" s="39"/>
      <c r="H1" s="39"/>
    </row>
    <row r="2" spans="1:8" ht="13.4" customHeight="1">
      <c r="A2" s="39"/>
      <c r="B2" s="39"/>
      <c r="C2" s="39"/>
      <c r="D2" s="39"/>
      <c r="E2" s="39"/>
      <c r="F2" s="39"/>
      <c r="G2" s="39"/>
      <c r="H2" s="39"/>
    </row>
    <row r="4" spans="1:8" ht="13.4" customHeight="1">
      <c r="A4" s="23" t="str">
        <f>HYPERLINK("#'PRACTICE A'!A1","PRACTICE A")</f>
        <v>PRACTICE A</v>
      </c>
      <c r="C4" s="23" t="str">
        <f>HYPERLINK("#'PRACTICE B'!A1","PRACTICE B")</f>
        <v>PRACTICE B</v>
      </c>
      <c r="E4" s="23" t="str">
        <f>HYPERLINK("#'PRACTICE C'!A1","PRACTICE C")</f>
        <v>PRACTICE C</v>
      </c>
      <c r="G4" s="23" t="str">
        <f>HYPERLINK("#'COMPARE PRODUCTS'!A1","COMPARE")</f>
        <v>COMPARE</v>
      </c>
    </row>
    <row r="8" spans="1:8">
      <c r="A8" s="22" t="s">
        <v>238</v>
      </c>
      <c r="B8" s="22" t="s">
        <v>22</v>
      </c>
      <c r="C8" s="22" t="s">
        <v>23</v>
      </c>
      <c r="D8" s="22" t="s">
        <v>24</v>
      </c>
    </row>
    <row r="9" spans="1:8">
      <c r="A9" t="s">
        <v>239</v>
      </c>
      <c r="B9" s="25">
        <f>SIMULATOR!B6</f>
        <v>199</v>
      </c>
      <c r="C9" s="25">
        <f>SIMULATOR!C6</f>
        <v>349</v>
      </c>
      <c r="D9" s="25">
        <f>SIMULATOR!D6</f>
        <v>599</v>
      </c>
    </row>
    <row r="10" spans="1:8">
      <c r="A10" t="s">
        <v>240</v>
      </c>
      <c r="B10" s="25">
        <f>SIMULATOR!B7</f>
        <v>35</v>
      </c>
      <c r="C10" s="25">
        <f>SIMULATOR!C7</f>
        <v>75</v>
      </c>
      <c r="D10" s="25">
        <f>SIMULATOR!D7</f>
        <v>120</v>
      </c>
    </row>
    <row r="11" spans="1:8">
      <c r="A11" t="s">
        <v>241</v>
      </c>
      <c r="B11" s="25">
        <f>SIMULATOR!B8</f>
        <v>5</v>
      </c>
      <c r="C11" s="25">
        <f>SIMULATOR!C8</f>
        <v>10</v>
      </c>
      <c r="D11" s="25">
        <f>SIMULATOR!D8</f>
        <v>15</v>
      </c>
    </row>
    <row r="12" spans="1:8">
      <c r="A12" t="s">
        <v>242</v>
      </c>
      <c r="B12" s="25">
        <f>SIMULATOR!B9</f>
        <v>30</v>
      </c>
      <c r="C12" s="25">
        <f>SIMULATOR!C9</f>
        <v>35</v>
      </c>
      <c r="D12" s="25">
        <f>SIMULATOR!D9</f>
        <v>40</v>
      </c>
    </row>
    <row r="13" spans="1:8">
      <c r="A13" t="s">
        <v>84</v>
      </c>
      <c r="B13" s="25">
        <f>SIMULATOR!B10</f>
        <v>18</v>
      </c>
      <c r="C13" s="25">
        <f>SIMULATOR!C10</f>
        <v>25</v>
      </c>
      <c r="D13" s="25">
        <f>SIMULATOR!D10</f>
        <v>40</v>
      </c>
    </row>
    <row r="14" spans="1:8">
      <c r="A14" t="s">
        <v>243</v>
      </c>
      <c r="B14" s="25">
        <f>SIMULATOR!B11</f>
        <v>0.65</v>
      </c>
      <c r="C14" s="25">
        <f>SIMULATOR!C11</f>
        <v>0.72</v>
      </c>
      <c r="D14" s="25">
        <f>SIMULATOR!D11</f>
        <v>0.78</v>
      </c>
    </row>
    <row r="15" spans="1:8">
      <c r="A15" t="s">
        <v>244</v>
      </c>
      <c r="B15" s="25">
        <f>SIMULATOR!B12</f>
        <v>0.78</v>
      </c>
      <c r="C15" s="25">
        <f>SIMULATOR!C12</f>
        <v>0.83</v>
      </c>
      <c r="D15" s="25">
        <f>SIMULATOR!D12</f>
        <v>0.88</v>
      </c>
    </row>
    <row r="16" spans="1:8">
      <c r="A16" t="s">
        <v>245</v>
      </c>
      <c r="B16" s="25">
        <f>SIMULATOR!B13</f>
        <v>2000</v>
      </c>
      <c r="C16" s="25">
        <f>SIMULATOR!C13</f>
        <v>3000</v>
      </c>
      <c r="D16" s="25">
        <f>SIMULATOR!D13</f>
        <v>5000</v>
      </c>
    </row>
    <row r="19" spans="1:8" ht="13.4" customHeight="1">
      <c r="B19" s="23" t="str">
        <f>HYPERLINK("#'PRACTICE A'!A1","PRACTICE PRODUCT A")</f>
        <v>PRACTICE PRODUCT A</v>
      </c>
      <c r="C19" s="23" t="str">
        <f>HYPERLINK("#'PRACTICE B'!A1","PRACTICE PRODUCT B")</f>
        <v>PRACTICE PRODUCT B</v>
      </c>
      <c r="D19" s="23" t="str">
        <f>HYPERLINK("#'PRACTICE C'!A1","PRACTICE PRODUCT C")</f>
        <v>PRACTICE PRODUCT C</v>
      </c>
    </row>
    <row r="23" spans="1:8" ht="13.4" customHeight="1">
      <c r="B23" s="23" t="str">
        <f>HYPERLINK("#'COMPARE PRODUCTS'!A1","COMPARE RESULTS")</f>
        <v>COMPARE RESULTS</v>
      </c>
    </row>
    <row r="26" spans="1:8">
      <c r="A26" s="44" t="s">
        <v>246</v>
      </c>
      <c r="B26" s="44"/>
      <c r="C26" s="44"/>
      <c r="D26" s="44"/>
      <c r="E26" s="44"/>
      <c r="F26" s="44"/>
      <c r="G26" s="44"/>
      <c r="H26" s="44"/>
    </row>
  </sheetData>
  <mergeCells count="2">
    <mergeCell ref="A1:H2"/>
    <mergeCell ref="A26:H26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6" tint="0.79998168889431442"/>
  </sheetPr>
  <dimension ref="A1:H28"/>
  <sheetViews>
    <sheetView topLeftCell="A13" workbookViewId="0">
      <selection sqref="A1:H2"/>
    </sheetView>
  </sheetViews>
  <sheetFormatPr baseColWidth="10" defaultColWidth="8.6640625" defaultRowHeight="14"/>
  <cols>
    <col min="1" max="1" width="28.5" bestFit="1" customWidth="1"/>
    <col min="2" max="8" width="23" customWidth="1"/>
  </cols>
  <sheetData>
    <row r="1" spans="1:8" ht="13.4" customHeight="1">
      <c r="A1" s="39" t="s">
        <v>247</v>
      </c>
      <c r="B1" s="39"/>
      <c r="C1" s="39"/>
      <c r="D1" s="39"/>
      <c r="E1" s="39"/>
      <c r="F1" s="39"/>
      <c r="G1" s="39"/>
      <c r="H1" s="39"/>
    </row>
    <row r="2" spans="1:8" ht="13.4" customHeight="1">
      <c r="A2" s="39"/>
      <c r="B2" s="39"/>
      <c r="C2" s="39"/>
      <c r="D2" s="39"/>
      <c r="E2" s="39"/>
      <c r="F2" s="39"/>
      <c r="G2" s="39"/>
      <c r="H2" s="39"/>
    </row>
    <row r="4" spans="1:8" ht="13.4" customHeight="1">
      <c r="A4" s="23" t="str">
        <f>HYPERLINK("#'PRACTICE A'!A1","PRACTICE A")</f>
        <v>PRACTICE A</v>
      </c>
      <c r="C4" s="23" t="str">
        <f>HYPERLINK("#'PRACTICE B'!A1","PRACTICE B")</f>
        <v>PRACTICE B</v>
      </c>
      <c r="E4" s="23" t="str">
        <f>HYPERLINK("#'PRACTICE C'!A1","PRACTICE C")</f>
        <v>PRACTICE C</v>
      </c>
      <c r="G4" s="23" t="str">
        <f>HYPERLINK("#'COMPARE PRODUCTS'!A1","COMPARE")</f>
        <v>COMPARE</v>
      </c>
    </row>
    <row r="8" spans="1:8">
      <c r="A8" s="22" t="s">
        <v>248</v>
      </c>
      <c r="B8" s="22" t="s">
        <v>22</v>
      </c>
      <c r="C8" s="22" t="s">
        <v>23</v>
      </c>
      <c r="D8" s="22" t="s">
        <v>24</v>
      </c>
    </row>
    <row r="9" spans="1:8">
      <c r="A9" t="s">
        <v>239</v>
      </c>
      <c r="B9" s="26">
        <f>SIMULATOR!B6</f>
        <v>199</v>
      </c>
      <c r="C9" s="26">
        <f>SIMULATOR!C6</f>
        <v>349</v>
      </c>
      <c r="D9" s="26">
        <f>SIMULATOR!D6</f>
        <v>599</v>
      </c>
    </row>
    <row r="10" spans="1:8">
      <c r="A10" t="s">
        <v>73</v>
      </c>
      <c r="B10" s="26">
        <f>'PRACTICE A'!C17</f>
        <v>70</v>
      </c>
      <c r="C10" s="26">
        <f>'PRACTICE B'!C17</f>
        <v>120</v>
      </c>
      <c r="D10" s="26">
        <f>'PRACTICE C'!C17</f>
        <v>175</v>
      </c>
    </row>
    <row r="11" spans="1:8">
      <c r="A11" t="s">
        <v>77</v>
      </c>
      <c r="B11" s="25">
        <f>'PRACTICE A'!G17</f>
        <v>129</v>
      </c>
      <c r="C11" s="25">
        <f>'PRACTICE B'!G17</f>
        <v>229</v>
      </c>
      <c r="D11" s="25">
        <f>'PRACTICE C'!G17</f>
        <v>424</v>
      </c>
    </row>
    <row r="12" spans="1:8">
      <c r="A12" t="s">
        <v>81</v>
      </c>
      <c r="B12" s="26">
        <f>'PRACTICE A'!C22</f>
        <v>0.64824120603015079</v>
      </c>
      <c r="C12" s="26">
        <f>'PRACTICE B'!C22</f>
        <v>0.65616045845272208</v>
      </c>
      <c r="D12" s="26">
        <f>'PRACTICE C'!C22</f>
        <v>0.70784641068447407</v>
      </c>
    </row>
    <row r="13" spans="1:8">
      <c r="A13" t="s">
        <v>249</v>
      </c>
      <c r="B13" s="26">
        <f>'PRACTICE A'!C27</f>
        <v>14.3</v>
      </c>
      <c r="C13" s="26">
        <f>'PRACTICE B'!C27</f>
        <v>15.84</v>
      </c>
      <c r="D13" s="26">
        <f>'PRACTICE C'!C27</f>
        <v>17.16</v>
      </c>
    </row>
    <row r="14" spans="1:8">
      <c r="A14" t="s">
        <v>250</v>
      </c>
      <c r="B14" s="26">
        <f>'PRACTICE A'!G27</f>
        <v>11.154000000000002</v>
      </c>
      <c r="C14" s="26">
        <f>'PRACTICE B'!G27</f>
        <v>13.1472</v>
      </c>
      <c r="D14" s="26">
        <f>'PRACTICE C'!G27</f>
        <v>15.1008</v>
      </c>
    </row>
    <row r="15" spans="1:8">
      <c r="A15" t="s">
        <v>251</v>
      </c>
      <c r="B15" s="26">
        <f>'PRACTICE A'!G32</f>
        <v>35.502958579881657</v>
      </c>
      <c r="C15" s="26">
        <f>'PRACTICE B'!G32</f>
        <v>41.834002677376176</v>
      </c>
      <c r="D15" s="26">
        <f>'PRACTICE C'!G32</f>
        <v>58.275058275058271</v>
      </c>
    </row>
    <row r="16" spans="1:8">
      <c r="A16" t="s">
        <v>252</v>
      </c>
      <c r="B16" s="26">
        <f>'PRACTICE A'!C37</f>
        <v>3.8461538461538463</v>
      </c>
      <c r="C16" s="26">
        <f>'PRACTICE B'!C37</f>
        <v>3.6144578313253009</v>
      </c>
      <c r="D16" s="26">
        <f>'PRACTICE C'!C37</f>
        <v>3.4090909090909096</v>
      </c>
    </row>
    <row r="17" spans="1:4">
      <c r="A17" t="s">
        <v>253</v>
      </c>
      <c r="B17" s="26">
        <f>'PRACTICE A'!G37</f>
        <v>7.0512820512820484</v>
      </c>
      <c r="C17" s="26">
        <f>'PRACTICE B'!G37</f>
        <v>5.120481927710844</v>
      </c>
      <c r="D17" s="26">
        <f>'PRACTICE C'!G37</f>
        <v>3.4090909090909105</v>
      </c>
    </row>
    <row r="18" spans="1:4">
      <c r="A18" t="s">
        <v>254</v>
      </c>
      <c r="B18" s="26">
        <f>'PRACTICE A'!C42</f>
        <v>116.40039447731755</v>
      </c>
      <c r="C18" s="26">
        <f>'PRACTICE B'!C42</f>
        <v>170.56894243641233</v>
      </c>
      <c r="D18" s="26">
        <f>'PRACTICE C'!C42</f>
        <v>240.09324009324007</v>
      </c>
    </row>
    <row r="19" spans="1:4">
      <c r="A19" t="s">
        <v>255</v>
      </c>
      <c r="B19" s="26">
        <f>'PRACTICE A'!G42</f>
        <v>82.599605522682452</v>
      </c>
      <c r="C19" s="26">
        <f>'PRACTICE B'!G42</f>
        <v>178.43105756358767</v>
      </c>
      <c r="D19" s="26">
        <f>'PRACTICE C'!G42</f>
        <v>358.90675990675993</v>
      </c>
    </row>
    <row r="20" spans="1:4">
      <c r="A20" t="s">
        <v>256</v>
      </c>
      <c r="B20" s="31">
        <f>'PRACTICE A'!C47</f>
        <v>76.622676468830321</v>
      </c>
      <c r="C20" s="31">
        <f>'PRACTICE B'!C47</f>
        <v>170.82487525861018</v>
      </c>
      <c r="D20" s="31">
        <f>'PRACTICE C'!C47</f>
        <v>347.86981705163527</v>
      </c>
    </row>
    <row r="21" spans="1:4">
      <c r="A21" t="s">
        <v>257</v>
      </c>
      <c r="B21">
        <f>'PRACTICE A'!C57</f>
        <v>25</v>
      </c>
      <c r="C21">
        <f>'PRACTICE B'!C57</f>
        <v>17</v>
      </c>
      <c r="D21">
        <f>'PRACTICE C'!C57</f>
        <v>14</v>
      </c>
    </row>
    <row r="22" spans="1:4">
      <c r="A22" s="22" t="s">
        <v>258</v>
      </c>
      <c r="B22" s="36">
        <f>'PRACTICE A'!G57</f>
        <v>25639.480000000007</v>
      </c>
      <c r="C22" s="36">
        <f>'PRACTICE B'!G57</f>
        <v>67376.063999999998</v>
      </c>
      <c r="D22" s="36">
        <f>'PRACTICE C'!G57</f>
        <v>157593.37600000002</v>
      </c>
    </row>
    <row r="23" spans="1:4" ht="18.649999999999999" customHeight="1">
      <c r="A23" s="32" t="s">
        <v>259</v>
      </c>
      <c r="B23" s="33">
        <f>B21*B19-SIMULATOR!B13</f>
        <v>64.990138067061253</v>
      </c>
      <c r="C23" s="33">
        <f>C21*C19-SIMULATOR!C13</f>
        <v>33.327978580990475</v>
      </c>
      <c r="D23" s="33">
        <f>D21*D19-SIMULATOR!D13</f>
        <v>24.694638694639252</v>
      </c>
    </row>
    <row r="25" spans="1:4" ht="20" customHeight="1">
      <c r="A25" s="34" t="s">
        <v>260</v>
      </c>
      <c r="B25" s="34" t="s">
        <v>261</v>
      </c>
      <c r="C25" s="34"/>
      <c r="D25" s="34"/>
    </row>
    <row r="26" spans="1:4">
      <c r="A26" t="s">
        <v>262</v>
      </c>
      <c r="B26" s="35" t="str">
        <f>INDEX($B$8:$D$8,1,MATCH(MAX(B20:D20),B20:D20,0))</f>
        <v>PRODUCT C</v>
      </c>
    </row>
    <row r="27" spans="1:4">
      <c r="A27" t="s">
        <v>263</v>
      </c>
      <c r="B27" s="35" t="str">
        <f>INDEX($B$8:$D$8,1,MATCH(MIN(B21:D21),B21:D21,0))</f>
        <v>PRODUCT C</v>
      </c>
    </row>
    <row r="28" spans="1:4">
      <c r="A28" t="s">
        <v>264</v>
      </c>
      <c r="B28" s="35" t="str">
        <f>INDEX($B$8:$D$8,1,MATCH(MAX(B22:D22),B22:D22,0))</f>
        <v>PRODUCT C</v>
      </c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11</vt:i4>
      </vt:variant>
    </vt:vector>
  </HeadingPairs>
  <TitlesOfParts>
    <vt:vector size="11" baseType="lpstr">
      <vt:lpstr>START HERE</vt:lpstr>
      <vt:lpstr>EXERCISE SOLVED</vt:lpstr>
      <vt:lpstr>SIMULATOR</vt:lpstr>
      <vt:lpstr>FORMULAS &amp; CONCEPTS</vt:lpstr>
      <vt:lpstr>SCENARIO ANALYSIS</vt:lpstr>
      <vt:lpstr>ASSUMPTIONS</vt:lpstr>
      <vt:lpstr>PRACTICE A</vt:lpstr>
      <vt:lpstr>PRACTICE B</vt:lpstr>
      <vt:lpstr>PRACTICE C</vt:lpstr>
      <vt:lpstr>EXERCISE A-B-C</vt:lpstr>
      <vt:lpstr>COMPARE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modified xsi:type="dcterms:W3CDTF">2026-10-10T12:18:14Z</dcterms:modified>
</cp:coreProperties>
</file>